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schith\Downloads\"/>
    </mc:Choice>
  </mc:AlternateContent>
  <xr:revisionPtr revIDLastSave="0" documentId="13_ncr:1_{6A908887-B0BB-4116-BE9D-DB3D0BBAD6B6}" xr6:coauthVersionLast="47" xr6:coauthVersionMax="47" xr10:uidLastSave="{00000000-0000-0000-0000-000000000000}"/>
  <bookViews>
    <workbookView xWindow="28680" yWindow="-120" windowWidth="29040" windowHeight="15720" xr2:uid="{00000000-000D-0000-FFFF-FFFF00000000}"/>
  </bookViews>
  <sheets>
    <sheet name="CRF Source Data Config 2026" sheetId="14" r:id="rId1"/>
    <sheet name="CRF Source Data Config 2025" sheetId="13" r:id="rId2"/>
    <sheet name="CRF Source Data Config 2024" sheetId="1" r:id="rId3"/>
    <sheet name="Source Data Old" sheetId="5" state="hidden" r:id="rId4"/>
    <sheet name="Pivots Old" sheetId="6" state="hidden" r:id="rId5"/>
  </sheets>
  <definedNames>
    <definedName name="_xlnm._FilterDatabase" localSheetId="2" hidden="1">'CRF Source Data Config 2024'!$T$2:$T$2</definedName>
    <definedName name="_xlnm._FilterDatabase" localSheetId="1" hidden="1">'CRF Source Data Config 2025'!$A$1:$U$1</definedName>
    <definedName name="_xlnm._FilterDatabase" localSheetId="0" hidden="1">'CRF Source Data Config 2026'!$A$1:$U$1</definedName>
    <definedName name="_xlnm._FilterDatabase" localSheetId="4" hidden="1">'Pivots Old'!$A$1:$G$21</definedName>
    <definedName name="_xlnm._FilterDatabase" localSheetId="3" hidden="1">'Source Data Old'!$A$1:$F$1</definedName>
  </definedNames>
  <calcPr calcId="191028"/>
  <pivotCaches>
    <pivotCache cacheId="0" r:id="rId6"/>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2" i="14" l="1"/>
  <c r="L71" i="14"/>
  <c r="L70" i="14"/>
  <c r="L69" i="14"/>
  <c r="L68" i="14"/>
  <c r="L67" i="14"/>
  <c r="L66" i="14"/>
  <c r="L65" i="14"/>
  <c r="L64" i="14"/>
  <c r="L63" i="14"/>
  <c r="L62" i="14"/>
  <c r="L61" i="14"/>
  <c r="L60" i="14"/>
  <c r="L59" i="14"/>
  <c r="L58" i="14"/>
  <c r="L57" i="14"/>
  <c r="L24" i="14"/>
  <c r="L23" i="14"/>
  <c r="L56" i="14"/>
  <c r="L55" i="14"/>
  <c r="L22" i="14"/>
  <c r="L54" i="14"/>
  <c r="L53" i="14"/>
  <c r="L52" i="14"/>
  <c r="L3" i="14"/>
  <c r="L51" i="14"/>
  <c r="L50" i="14"/>
  <c r="L49" i="14"/>
  <c r="L21" i="14"/>
  <c r="L48" i="14"/>
  <c r="L20" i="14"/>
  <c r="L47" i="14"/>
  <c r="L46" i="14"/>
  <c r="L19" i="14"/>
  <c r="L18" i="14"/>
  <c r="L45" i="14"/>
  <c r="L17" i="14"/>
  <c r="L16" i="14"/>
  <c r="L44" i="14"/>
  <c r="L26" i="14"/>
  <c r="L4" i="14"/>
  <c r="L5" i="14"/>
  <c r="L27" i="14"/>
  <c r="L28" i="14"/>
  <c r="L6" i="14"/>
  <c r="L29" i="14"/>
  <c r="L30" i="14"/>
  <c r="L31" i="14"/>
  <c r="L32" i="14"/>
  <c r="L7" i="14"/>
  <c r="L8" i="14"/>
  <c r="L9" i="14"/>
  <c r="L10" i="14"/>
  <c r="L33" i="14"/>
  <c r="L11" i="14"/>
  <c r="L34" i="14"/>
  <c r="L35" i="14"/>
  <c r="L36" i="14"/>
  <c r="L12" i="14"/>
  <c r="L37" i="14"/>
  <c r="L38" i="14"/>
  <c r="L13" i="14"/>
  <c r="L39" i="14"/>
  <c r="L14" i="14"/>
  <c r="L15" i="14"/>
  <c r="L40" i="14"/>
  <c r="L41" i="14"/>
  <c r="L42" i="14"/>
  <c r="L43" i="14"/>
  <c r="L25" i="14"/>
  <c r="L154" i="13"/>
  <c r="L153" i="13"/>
  <c r="L152" i="13"/>
  <c r="L151" i="13"/>
  <c r="L150" i="13"/>
  <c r="L149" i="13"/>
  <c r="L148" i="13"/>
  <c r="L147" i="13"/>
  <c r="L146" i="13"/>
  <c r="L145" i="13"/>
  <c r="C144" i="13"/>
  <c r="L144" i="13"/>
  <c r="L143" i="13"/>
  <c r="L142" i="13"/>
  <c r="L141" i="13"/>
  <c r="L140" i="13"/>
  <c r="L139" i="13"/>
  <c r="L138" i="13"/>
  <c r="L137" i="13"/>
  <c r="C136" i="13"/>
  <c r="L136" i="13"/>
  <c r="L135" i="13"/>
  <c r="L134" i="13"/>
  <c r="L133" i="13"/>
  <c r="L132" i="13"/>
  <c r="L131" i="13"/>
  <c r="L130" i="13"/>
  <c r="L129" i="13"/>
  <c r="C128" i="13"/>
  <c r="L128" i="13"/>
  <c r="L127" i="13"/>
  <c r="C126" i="13"/>
  <c r="L126" i="13"/>
  <c r="L125" i="13"/>
  <c r="L124" i="13"/>
  <c r="C123" i="13"/>
  <c r="L123" i="13"/>
  <c r="L122" i="13"/>
  <c r="L121" i="13"/>
  <c r="L120" i="13"/>
  <c r="L119" i="13"/>
  <c r="L118" i="13"/>
  <c r="L117" i="13"/>
  <c r="L116" i="13"/>
  <c r="L115" i="13"/>
  <c r="L114" i="13"/>
  <c r="L113" i="13"/>
  <c r="L112" i="13"/>
  <c r="L111" i="13"/>
  <c r="C110" i="13"/>
  <c r="L110" i="13"/>
  <c r="L109" i="13"/>
  <c r="L108" i="13"/>
  <c r="L107" i="13"/>
  <c r="L106" i="13"/>
  <c r="L105" i="13"/>
  <c r="L104" i="13"/>
  <c r="L103" i="13"/>
  <c r="C102" i="13"/>
  <c r="L102" i="13"/>
  <c r="C98" i="13"/>
  <c r="C99" i="13"/>
  <c r="C101" i="13"/>
  <c r="C100" i="13"/>
  <c r="L101" i="13"/>
  <c r="L100" i="13"/>
  <c r="L99" i="13"/>
  <c r="L98" i="13"/>
  <c r="L74" i="13"/>
  <c r="L75" i="13"/>
  <c r="L76" i="13"/>
  <c r="L77" i="13"/>
  <c r="L78" i="13"/>
  <c r="L79" i="13"/>
  <c r="L80" i="13"/>
  <c r="L81" i="13"/>
  <c r="L82" i="13"/>
  <c r="L83" i="13"/>
  <c r="L84" i="13"/>
  <c r="L85" i="13"/>
  <c r="L86" i="13"/>
  <c r="L87" i="13"/>
  <c r="L88" i="13"/>
  <c r="L89" i="13"/>
  <c r="L90" i="13"/>
  <c r="L91" i="13"/>
  <c r="L92" i="13"/>
  <c r="L93" i="13"/>
  <c r="L94" i="13"/>
  <c r="L95" i="13"/>
  <c r="L96" i="13"/>
  <c r="L97" i="13"/>
  <c r="L72" i="13"/>
  <c r="L73" i="13"/>
  <c r="L71" i="13"/>
  <c r="L70" i="13"/>
  <c r="L69" i="13"/>
  <c r="L68" i="13"/>
  <c r="L67" i="13"/>
  <c r="L66" i="13"/>
  <c r="L65" i="13"/>
  <c r="L64" i="13"/>
  <c r="L63" i="13"/>
  <c r="L62" i="13"/>
  <c r="L61" i="13"/>
  <c r="L60" i="13"/>
  <c r="L59" i="13"/>
  <c r="L58" i="13"/>
  <c r="L57" i="13"/>
  <c r="L56" i="13"/>
  <c r="L55" i="13"/>
  <c r="L54" i="13"/>
  <c r="L53" i="13"/>
  <c r="L52" i="13"/>
  <c r="L51" i="13"/>
  <c r="L50" i="13"/>
  <c r="L95" i="1"/>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L5" i="13"/>
  <c r="L4" i="13"/>
  <c r="L3" i="13"/>
  <c r="L149" i="1"/>
  <c r="L148" i="1"/>
  <c r="L147" i="1"/>
  <c r="L146" i="1"/>
  <c r="L145" i="1"/>
  <c r="L144" i="1"/>
  <c r="C143" i="1"/>
  <c r="L143" i="1"/>
  <c r="L142" i="1"/>
  <c r="L141" i="1"/>
  <c r="L140" i="1"/>
  <c r="L139" i="1"/>
  <c r="L138" i="1"/>
  <c r="L137" i="1"/>
  <c r="L136" i="1"/>
  <c r="L135" i="1"/>
  <c r="L134" i="1"/>
  <c r="L133" i="1"/>
  <c r="L132" i="1"/>
  <c r="L131" i="1"/>
  <c r="C130" i="1"/>
  <c r="L130" i="1"/>
  <c r="C129" i="1"/>
  <c r="C128" i="1"/>
  <c r="L129" i="1"/>
  <c r="L128" i="1"/>
  <c r="C127" i="1"/>
  <c r="C126" i="1"/>
  <c r="C124" i="1"/>
  <c r="L127" i="1"/>
  <c r="L126" i="1"/>
  <c r="L125" i="1"/>
  <c r="L124" i="1"/>
  <c r="L123" i="1"/>
  <c r="C123" i="1"/>
  <c r="L122" i="1"/>
  <c r="L121" i="1"/>
  <c r="C120" i="1"/>
  <c r="C119" i="1"/>
  <c r="C118" i="1"/>
  <c r="C117" i="1"/>
  <c r="C116" i="1"/>
  <c r="C115" i="1"/>
  <c r="C114" i="1"/>
  <c r="L120" i="1"/>
  <c r="L119" i="1"/>
  <c r="L118" i="1"/>
  <c r="L117" i="1"/>
  <c r="L116" i="1"/>
  <c r="L115" i="1"/>
  <c r="L114" i="1"/>
  <c r="L113" i="1"/>
  <c r="C113" i="1"/>
  <c r="L112" i="1"/>
  <c r="L111" i="1"/>
  <c r="C110" i="1"/>
  <c r="L110" i="1"/>
  <c r="C109" i="1"/>
  <c r="L109" i="1"/>
  <c r="C108" i="1"/>
  <c r="Q108" i="1"/>
  <c r="L108" i="1"/>
  <c r="Q107" i="1"/>
  <c r="C107" i="1"/>
  <c r="L107" i="1"/>
  <c r="Q106" i="1"/>
  <c r="C106" i="1"/>
  <c r="L106" i="1"/>
  <c r="L105" i="1"/>
  <c r="L104" i="1"/>
  <c r="L102" i="1"/>
  <c r="L101" i="1"/>
  <c r="L100" i="1"/>
  <c r="L99" i="1"/>
  <c r="L98" i="1"/>
  <c r="L97" i="1"/>
  <c r="L96" i="1"/>
  <c r="L94" i="1"/>
  <c r="L93" i="1"/>
  <c r="L92" i="1"/>
  <c r="L91" i="1"/>
  <c r="L90" i="1"/>
  <c r="L89" i="1"/>
  <c r="L88" i="1"/>
  <c r="L87" i="1"/>
  <c r="L86" i="1"/>
  <c r="L85" i="1"/>
  <c r="L84" i="1"/>
  <c r="L83" i="1"/>
  <c r="L82" i="1"/>
  <c r="L81" i="1"/>
  <c r="L80" i="1"/>
  <c r="L79" i="1"/>
  <c r="L78" i="1"/>
  <c r="L77" i="1"/>
  <c r="L76" i="1"/>
  <c r="L75" i="1"/>
  <c r="L74" i="1"/>
  <c r="L73" i="1"/>
  <c r="L72" i="1"/>
  <c r="L70" i="1"/>
  <c r="L69" i="1"/>
  <c r="L68" i="1"/>
  <c r="L67" i="1"/>
  <c r="L66" i="1"/>
  <c r="L65" i="1"/>
  <c r="L64" i="1"/>
  <c r="L63" i="1"/>
  <c r="L62" i="1"/>
  <c r="L61" i="1"/>
  <c r="L60" i="1"/>
  <c r="L59" i="1"/>
  <c r="L58" i="1"/>
  <c r="L57" i="1"/>
  <c r="L56" i="1"/>
  <c r="L55" i="1"/>
  <c r="L71" i="1"/>
  <c r="L54" i="1"/>
  <c r="L53" i="1"/>
  <c r="L52" i="1"/>
  <c r="L51" i="1"/>
  <c r="L50" i="1"/>
  <c r="L49" i="1"/>
  <c r="L48" i="1"/>
  <c r="L47" i="1"/>
  <c r="L46" i="1"/>
  <c r="L45" i="1"/>
  <c r="L43" i="1"/>
  <c r="L44"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9" i="1"/>
  <c r="L3" i="1"/>
  <c r="L4" i="1"/>
  <c r="L5" i="1"/>
  <c r="L6" i="1"/>
  <c r="L7" i="1"/>
  <c r="L8" i="1"/>
  <c r="L10" i="1"/>
  <c r="L11" i="1"/>
  <c r="L12" i="1"/>
  <c r="L13" i="1"/>
</calcChain>
</file>

<file path=xl/sharedStrings.xml><?xml version="1.0" encoding="utf-8"?>
<sst xmlns="http://schemas.openxmlformats.org/spreadsheetml/2006/main" count="3916" uniqueCount="891">
  <si>
    <t>Change Request Forms - 2026</t>
  </si>
  <si>
    <t>Month</t>
  </si>
  <si>
    <t>Client Name</t>
  </si>
  <si>
    <t>Partner Name</t>
  </si>
  <si>
    <t>Conversation#</t>
  </si>
  <si>
    <t>Change Requested By</t>
  </si>
  <si>
    <t>Change Request Date</t>
  </si>
  <si>
    <t>Category</t>
  </si>
  <si>
    <t>Reason for Raising</t>
  </si>
  <si>
    <t>Change Request</t>
  </si>
  <si>
    <t>Time Spent on Configuration</t>
  </si>
  <si>
    <t>Time Spent on Review/Testing</t>
  </si>
  <si>
    <t>Total Time</t>
  </si>
  <si>
    <t>No. of Errors</t>
  </si>
  <si>
    <t>Configuration Analyst</t>
  </si>
  <si>
    <t>Review/Testing Analyst</t>
  </si>
  <si>
    <t>Implementation Manager/CRM</t>
  </si>
  <si>
    <t>Completed Date</t>
  </si>
  <si>
    <t>Rating</t>
  </si>
  <si>
    <t>Comments</t>
  </si>
  <si>
    <t>Billable/Non Billable</t>
  </si>
  <si>
    <t>June</t>
  </si>
  <si>
    <t>ORourke Sales Company</t>
  </si>
  <si>
    <t>TrueNorth</t>
  </si>
  <si>
    <t>Partner</t>
  </si>
  <si>
    <t>Eligibility Setup</t>
  </si>
  <si>
    <t>When an employee moves from part-time to either management or non-management, the waiting period should match that of a new hire: FOMF begins 90 days after the effective date of the change.</t>
  </si>
  <si>
    <t>•We have  removed Part-time from Class and added it as a department.
•Updated the Department change rule to  90 days from the Date of change that is same as New hire rule. And First of the Month Following or Coinciding with 90 Day(s) from Date of Department for Dental, Vision, Basic Life, LTD, Voluntary Life.
•First of the Month Following 90 Day(s) from Date of Department for  FSA Dependent Care, Voluntary Short Term Disability, Accident, Hospital Indemnity and Critical Illness</t>
  </si>
  <si>
    <t>Pratyush</t>
  </si>
  <si>
    <t>Nischith</t>
  </si>
  <si>
    <t>Denna</t>
  </si>
  <si>
    <t>January</t>
  </si>
  <si>
    <t>ATK Energy Group</t>
  </si>
  <si>
    <t>449714 and 449644</t>
  </si>
  <si>
    <t xml:space="preserve">ATK Energy Group has added multiple Paylocity company codes that mirror ATK’s existing benefits, eligibility rules, and contribution structure. To ensure consistent demographic mapping and payroll reporting, these entities should be managed at the Location level. We also identified that Nomad was previously set up as a Department and needs to be corrected to follow this same Location-based structure.
Using Locations allows direct mapping to Paylocity company IDs while keeping carrier and EDI configurations aligned with ATK.
Please complete the following updates in Benefits Junction:
1.Create / update Locations:
K5 Line LLC
Axiom Utility Solutions LLC
Nomad Power Group
2.Associate each Location with its corresponding Paylocity company ID so payroll can be reported correctly.
K5 Line LLC — Company ID 337597
Axiom Utility Solutions LLC — Company ID 351049
Nomad Power Group — Company ID 339815
3.Fix Nomad Power Group so it is handled as a Location (not a Department) and follows this same structure.
4.For carrier file feeds, map all new Locations the same way as ATK, with no changes to carrier accounts, plans, eligibility, or EDI logic.
</t>
  </si>
  <si>
    <t xml:space="preserve">1.Create / update Locations:
K5 Line LLC
Axiom Utility Solutions LLC
Nomad Power Group
2.Fix Nomad Power Group so it is handled as a Location (not a Department) and follows this same structure. Leave the department as it is and moved employees to Location with same department for now.
3.Add new department Fleet in system and eligibility same as other departments.
</t>
  </si>
  <si>
    <t>Shilpa</t>
  </si>
  <si>
    <t>Kiran B S</t>
  </si>
  <si>
    <t>Juan</t>
  </si>
  <si>
    <t>Howard Sheppard LLC</t>
  </si>
  <si>
    <t>Client</t>
  </si>
  <si>
    <t xml:space="preserve">Please Add ACCT as a new Location value in Workforce Junction, effective 1/1/26. Eligibility should match the other locations. </t>
  </si>
  <si>
    <t xml:space="preserve">Add ACCT as a new Location value in Workforce Junction. Eligibility should match the other locations. </t>
  </si>
  <si>
    <t>Jeevan S</t>
  </si>
  <si>
    <t>Flora Food Group</t>
  </si>
  <si>
    <t>Hilb Group</t>
  </si>
  <si>
    <t>Plan Setup</t>
  </si>
  <si>
    <t>The New Century is taking STD and FMLA administration in-house and should no longer be billed by UNUM. Since STD and FMLA are auto-enrolled and UNUM is self-bill based on WFJ enrollment, eligibility must be updated to prevent incorrect billing.</t>
  </si>
  <si>
    <t xml:space="preserve">Update STD and FMLA eligibility effective 01/01/2026 so that employees in the following divisions are not eligible or enrolled:
- New Century – 27080 West 159th
- Direct Bill – New Century – 27080 West 159th
- Hugoton
- Direct Bill – Hugoton
Also update the UNUM rates effective 01/01/2026 for the remaining population:
- STD: $10.25 PEPM (from $5.40)
- FMLA: $5.61 PEPM (from $4.21)
This change is needed because New Century is taking STD and FMLA administration in-house and should no longer be billed by UNUM. Since STD and FMLA are auto-enrolled and UNUM is self-bill based on WFJ enrollment, eligibility must be updated to prevent incorrect billing.
No employee notifications, or to-do items should be triggered as part of this change, and employees should not be given the ability to modify their enrollments related to this update.
Additionally. Remove division from the plan Employer Paid STD Plan - NJ 
- New Century – 27080 West 159th 
- Direct Bill – New Century - 27080 West 159th 
- Hugoton 
- Direct Bill – Hugoton </t>
  </si>
  <si>
    <t>February</t>
  </si>
  <si>
    <t>World Class Industries Inc</t>
  </si>
  <si>
    <t>During an audit of the Mutual of Omaha invoice for World Class Industries, our team noticed a rate mismatch for Basic Life and AD&amp;D across multiple employees. The premiums billed on the carrier invoice do not align with the rates currently configured in the system. The broker confirmed the correct rates, so the system needs to be updated to match carrier billing and prevent ongoing premium discrepancies.</t>
  </si>
  <si>
    <t xml:space="preserve">Update the Mutual of Omaha Basic Life and AD&amp;D rates for World Class Industries effective 01/01/2026 to the confirmed rates provided by the broker. 
Basic Life rate: 0.11 
AD&amp;D rate: 0.02 </t>
  </si>
  <si>
    <t>Rates Corrections</t>
  </si>
  <si>
    <t xml:space="preserve">Reason for Change:
Update 2026 Cigna medical premiums in the system to align with carrier billing. The carrier rates include the Vision Exam Only premium bundled into the medical plan rates. Our system was previously configured with medical-only rates, which caused a mismatch with the carrier invoice.
Requested Update:
Update the 2026 Cigna medical plan premiums to include Vision Exam Only rates as follows:
HDHP
•	Employee: $784.87
•	Employee + Spouse: $1,693.96
•	Employee + Child(ren): $1,456.55
•	Employee + Family: $2,365.67
POS
•	Employee: $974.22
•	Employee + Spouse: $2,102.51
•	Employee + Child(ren): $1,808.06
•	Employee + Family: $2,936.35
</t>
  </si>
  <si>
    <t xml:space="preserve">Update the 2026 Cigna medical plan premiums to include Vision Exam Only rates as follows:
HDHP
•	Employee: $784.87
•	Employee + Spouse: $1,693.96
•	Employee + Child(ren): $1,456.55
•	Employee + Family: $2,365.67
POS
•	Employee: $974.22
•	Employee + Spouse: $2,102.51
•	Employee + Child(ren): $1,808.06
•	Employee + Family: $2,936.35
</t>
  </si>
  <si>
    <t>Pratap</t>
  </si>
  <si>
    <t>Gilbert May dba Phillips May Corporation</t>
  </si>
  <si>
    <t>Higginbotham</t>
  </si>
  <si>
    <t>Status Change</t>
  </si>
  <si>
    <t xml:space="preserve">Update the Status Change rules so that childbirth is effective as of the date of birth instead of first of the following month. No changes are needed for any of the other qualifying life events, which should continue to be effective the first of the month following the event. </t>
  </si>
  <si>
    <t>Updated the Status Change rules so that childbirth is effective as of the date of birth instead of first of the following month. No changes are done to any of the other qualifying life events</t>
  </si>
  <si>
    <t>Carrier Change</t>
  </si>
  <si>
    <t>Update the carrier name from Allstate → The Standard in Workforce Junction for the following plans for WCI:
  Accident
  Critical Illness
Update any references to Allstate in the employee portal for WCI to The Standard for those same plans.</t>
  </si>
  <si>
    <t>Updated the carrier name from Allstate → The Standard in Workforce Junction for the following plans for WCI:
  Accident
  Critical Illness
Updated any references to Allstate in the employee portal for WCI to The Standard for those same plans.</t>
  </si>
  <si>
    <t>March</t>
  </si>
  <si>
    <t>Hammer Williams Company</t>
  </si>
  <si>
    <t>Dillingham</t>
  </si>
  <si>
    <t xml:space="preserve">Add three new departments under the Hammer Williams division in WFJ, eligibility should match the other departments:
•	725
•	712
•	731
</t>
  </si>
  <si>
    <t xml:space="preserve">Add the below new departments and the eligibility should match the other departments:
•	725
•	712
•	731
</t>
  </si>
  <si>
    <t>Plan Details Corrections</t>
  </si>
  <si>
    <t xml:space="preserve">Update the configuration for Dearborn coverage as follows:
•	STD premiums should be rounded to the nearest penny, with benefits rounded to the nearest dollar.
•	Voluntary Life and AD&amp;D spouse coverage should be rated based on the employee’s age instead of the spouse’s age.
</t>
  </si>
  <si>
    <t xml:space="preserve">Updated the Configuration rules
STD 
•Benefit amounts must be rounded to the nearest dollar. Update the rule to Conventional Rounding to the Whole Dollar
Voluntary Life &amp; AD&amp;D – Spouse Coverage
•Voluntary Life and AD&amp;D spouse coverage should be rated based on the employee’s age instead of the spouse’s age.
</t>
  </si>
  <si>
    <t>Add “Detroit Energy - Michigan” as a new department, eligibility should match other departments in WFJ, eligibility should match the other departments
Reason for Request:
A new department has been created in Paylocity, and this needs to exist in Workforce Junction to ensure incoming demographic data maps correctly.</t>
  </si>
  <si>
    <t>Add new departments called Detroit Energy - Michigan
in WFJ, eligibility should match the other departments</t>
  </si>
  <si>
    <t>Create new location (02) Parcel Warehouse – Davenport, IA in the system. Eligibility should match the other locations. 
Reason for Request:
Client is adding a new worksite location for employees. The location must be added so employees can be assigned correctly and so the location can be included in EDI feeds to carriers (Ameritas, Meritain/Aetna, and Transamerica).</t>
  </si>
  <si>
    <t xml:space="preserve">Create new location (02) Parcel Warehouse – Davenport, IA in the system. Eligibility should match the other locations. </t>
  </si>
  <si>
    <t>Request: Add new department Kent Farms to Benefits Junction under ATK Energy. Eligibility should match other departments. 
Reason: Client requested setup to allow enrollment of new employees. This location will not be included in Paylocity file feeds and will be reported to carriers under the existing ATK structure.</t>
  </si>
  <si>
    <t>Add new department Kent Farms to Benefits Junction under ATK Energy. Eligibility should match other departments.</t>
  </si>
  <si>
    <t>May</t>
  </si>
  <si>
    <t>Don Hummer Trucking</t>
  </si>
  <si>
    <t>Waiting Period Rules</t>
  </si>
  <si>
    <t xml:space="preserve">Employer Paid Critical Illness plans to terminate at the end of the month instead of the date of termination. Update the termination rule for Group Accident to terminate on the date of termination instead of the last day of the month following the date of termination. No changes are needed for Voluntary Critical Illness plans. </t>
  </si>
  <si>
    <t>We have updated the Termination rules for the plans Group Accident and Employer Paid Critical Illness
Group Accident - Date of  Termination
Employer Paid Critical Illness - Last day of Month following Date of Termination</t>
  </si>
  <si>
    <t>ark data centers</t>
  </si>
  <si>
    <t>Update to the waiting period rules for Mutual of Omaha plans to align with the carrier’s eligibility calculation methodology by changing the rule from “First of the Month Following 30 Day(s) from Date of Hire” to “First of the Month Following 31 Day(s) from Date of Hire.”  
This should apply to New Hire/Rehire rules only and also to Class, Location, Division, and Department changes.</t>
  </si>
  <si>
    <t>Updated to the waiting period rules for Mutual of Omaha plans to align with the carrier’s eligibility calculation methodology by changing the rule from “First of the Month Following 30 Day(s) from Date of Hire” to “First of the Month Following 31 Day(s) from Date of Hire.”  
This is applied to New Hire/Rehire rules only and also to Class, Location, Division, and Department changes.</t>
  </si>
  <si>
    <t>Plan Rules</t>
  </si>
  <si>
    <t>BCBSTX confirmed their retro billing cap is 60 days, not 30 (per Brandy Garcia at Higginbotham, 5/11/2026). Our current 1-month cap is out of sync with the carrier, which has driven A&amp;R discrepancies on multiple employees. Updating to 2 months aligns Benefits Junction with the carrier's actual billing behavior.</t>
  </si>
  <si>
    <t>We have updated the BCBSTX retro billing rule caps on the Gilbert May as follows:
- Addition Retro Cap: change from 1 to 2
- Termination Retro Cap: change from 1 to 2</t>
  </si>
  <si>
    <t>Hilb group</t>
  </si>
  <si>
    <t>Cigna confirmed on 5/11/2026 that they bill using a "wash method" — no premium charged for the month of hire unless the effective date is the 1st. Medical is already configured to match this practice; Dental is not. The mismatch is driving recurring new-hire and mid-month enrollment discrepancies on reconciliations (9 employees flagged on the most recent tracker alone). Aligning Dental to Medical eliminates the issue going forward.</t>
  </si>
  <si>
    <t xml:space="preserve">We have updated the Cigna retro billing rules caps on the Flora Food Group as follows:
Invoice Addition Retro Rule: 
No Premium for first month unless it is 1st  
Addition Retro Cap: 2  
Invoice Termination Retro Rule: Full month premium  
Termination Retro Cap: 2 
Funding Rules: Fully Insured  </t>
  </si>
  <si>
    <t>Iowa City Community School District</t>
  </si>
  <si>
    <t>Auto Enrollment Setup</t>
  </si>
  <si>
    <t>Currently, teachers who do not complete new hire or open enrollment have no summer check election recorded in WFJ, resulting in missing data on the Summer Checks Changes Report. Iowa City's payroll system automatically assigns these employees to Pay Group C (June/July/August) regardless of whether an election is made in WFJ, creating a mismatch between the two systems. 
The requested change is to configure a default enrollment rule in WFJ so that any teacher who does not complete new hire or OE enrollment is automatically assigned June/July/August as their summer check election, aligning WFJ with Iowa City's payroll defaults.</t>
  </si>
  <si>
    <t xml:space="preserve">We setup auto enrollment setup in BenJ so that any Teacher who does not complete new hire or OE enrollment is automatically assigned June/July/August plan as their summer check election, aligning WFJ with Iowa City's payroll defaults. </t>
  </si>
  <si>
    <t>Remove domestic partner eligibility from all benefit plans and update the system so that domestic partners are no longer available as an enrollment option</t>
  </si>
  <si>
    <t xml:space="preserve">We have removed Domestic Partner eligibility from all applicable benefits plans </t>
  </si>
  <si>
    <t>July</t>
  </si>
  <si>
    <t>Add a new department code "TECO" to the ATK Energy Group configuration. Eligibility rules for the TECO department should mirror the existing departments (no unique eligibility provisions).</t>
  </si>
  <si>
    <r>
      <rPr>
        <sz val="11"/>
        <color rgb="FF000000"/>
        <rFont val="Calibri"/>
        <scheme val="minor"/>
      </rPr>
      <t xml:space="preserve">We have added a new department code </t>
    </r>
    <r>
      <rPr>
        <b/>
        <sz val="11"/>
        <color rgb="FF000000"/>
        <rFont val="Calibri"/>
        <scheme val="minor"/>
      </rPr>
      <t>"TECO"</t>
    </r>
    <r>
      <rPr>
        <sz val="11"/>
        <color rgb="FF000000"/>
        <rFont val="Calibri"/>
        <scheme val="minor"/>
      </rPr>
      <t xml:space="preserve"> to the ATK Energy Group configuration. Eligibility rules for the TECO department are mirror those of the existing departments (no unique eligibility provisions).</t>
    </r>
  </si>
  <si>
    <t>Kiran b S</t>
  </si>
  <si>
    <t>Brightmark</t>
  </si>
  <si>
    <t>Johnson &amp; Dugan</t>
  </si>
  <si>
    <t>VSP Invoice Setup:
Invoice Termination Retro Rules: Termination Billing Rule from 'Full month premium if terminated after the 15th of the month' to 'Full month premium.</t>
  </si>
  <si>
    <r>
      <rPr>
        <sz val="11"/>
        <color rgb="FF000000"/>
        <rFont val="Calibri"/>
        <scheme val="minor"/>
      </rPr>
      <t xml:space="preserve">VSP Invoice Setup: We have </t>
    </r>
    <r>
      <rPr>
        <b/>
        <sz val="11"/>
        <color rgb="FF000000"/>
        <rFont val="Calibri"/>
        <scheme val="minor"/>
      </rPr>
      <t xml:space="preserve">updated </t>
    </r>
    <r>
      <rPr>
        <sz val="11"/>
        <color rgb="FF000000"/>
        <rFont val="Calibri"/>
        <scheme val="minor"/>
      </rPr>
      <t xml:space="preserve">the </t>
    </r>
    <r>
      <rPr>
        <b/>
        <sz val="11"/>
        <color rgb="FF000000"/>
        <rFont val="Calibri"/>
        <scheme val="minor"/>
      </rPr>
      <t>Termination Billing Rule</t>
    </r>
    <r>
      <rPr>
        <sz val="11"/>
        <color rgb="FF000000"/>
        <rFont val="Calibri"/>
        <scheme val="minor"/>
      </rPr>
      <t xml:space="preserve"> from “Full month premium if terminated after the 15th of the month” to </t>
    </r>
    <r>
      <rPr>
        <b/>
        <sz val="11"/>
        <color rgb="FF000000"/>
        <rFont val="Calibri"/>
        <scheme val="minor"/>
      </rPr>
      <t>“Full month premium.”</t>
    </r>
  </si>
  <si>
    <t xml:space="preserve">Broker (Ashley Brown, Johnson &amp; Dugan) requested that Brightmark LLC’s Voluntary Life plan be updated in BenJ to allow employees to enroll outside of a renewal or qualifying life event. UNUM confirmed this is permissible under the policy guidelines. The system is not currently set up to allow this. EOI is required from the first dollar since the employee is enrolling outside of the new hire period. </t>
  </si>
  <si>
    <t>We have updated the setup for Voluntary Life plan Employee can enroll in the plan any number of times during the year</t>
  </si>
  <si>
    <t>Visiting Nurse Health System</t>
  </si>
  <si>
    <t>Propel Insurance</t>
  </si>
  <si>
    <t>Clients</t>
  </si>
  <si>
    <t>Can you update the following for the Veris Benecon plans?</t>
  </si>
  <si>
    <t>Updated the following Veris Benecon plans</t>
  </si>
  <si>
    <t>Nitya</t>
  </si>
  <si>
    <t>Point of Rental</t>
  </si>
  <si>
    <t>Alera Group</t>
  </si>
  <si>
    <t>Update HSA so that those who elect HDHP cannot enroll in Medical FSA. So remove decline option from HSA and allow option for $0.
Since there is an ER contribution, Those enrolled cannot have Medical FSA. Limited FSA must be presented instead. 
For those currently in this situation, please do the following, make it effective 1/1/2026. 
Name	FSA	HSA
Byron White	Remove FSA	$0
Ryland Morigeau	Remove FSA	$50 per pay check
Matthew Benvenuti	Remove FSA	$20 per pay check</t>
  </si>
  <si>
    <t>We checked this in Staging and below are the findings and setup changes to be made:
We need to select the option "Yes" for Employee contribution in HSA plan, then employee won't get the Decline option for HSA plan.
1.The employee who enrolled in Medical Non HDHP plan will get the Regular FSA plan.
2.The employee who enrolled in Medical HDHP, the HSA will be enrolled and the employee will get the Limited FSA plan.
Update HSA so that those who elect HDHP cannot enroll in Medical FSA. So remove the decline option from HSA and allow option for $0.
Since there is an ER contribution, Those enrolled cannot have Medical FSA. Limited FSA must be presented instead. 
For those currently in this situation, please do the following, make it effective 1/1/2026. 
Name	FSA	HSA
Byron White	Remove FSA	$0
Morigeau	Remove FSA	$50 per pay check
Matthew Benvenuti	Remove FSA	$20 per pay check</t>
  </si>
  <si>
    <t>W.T.Rich</t>
  </si>
  <si>
    <t>LumberFi, Inc</t>
  </si>
  <si>
    <t xml:space="preserve">Change Accident Plan to admin only similar to Critical Illness and add an information only Accident Plan.  
Make sure to rename Accident Plan to Accident – Colonial as well.  
Rename Critical Illness to Critical Illness - Colonial, Whole Life to Whole Life - Colonial and Term Life to Term Life - Colonial. </t>
  </si>
  <si>
    <t xml:space="preserve">Change Accident Plan to admin only (Custom Premium) similar to Critical Illness 
Add an information only Accident Plan. similar to Critical Illness 
Update Premiums in custom premium plan 
Terminate the existing accident plan after all the above updates or delete the plan from BenJ. 
Make sure to rename Accident Plan to Accident - Colonial as well.  
Rename Critical Illness to Critical Illness - Colonial, Whole Life to Whole Life - Colonial and Term Life to Term Life - Colonial. </t>
  </si>
  <si>
    <t>Healthcare of Iowa</t>
  </si>
  <si>
    <t xml:space="preserve">Terminate all employees in Anamosa &amp; Monticello locations effective 1/31/26.
Do not process COBRA terms. 
</t>
  </si>
  <si>
    <t xml:space="preserve">Terminate all employees in Anamosa &amp; Monticello locations effective 1/31/26.
Do not process COBRA terms.
In case if we need to update Do Not Use like how we did not past, do that as well.
</t>
  </si>
  <si>
    <t>Thompson Concrete</t>
  </si>
  <si>
    <t>Update Dental and Vision Rates. Use highlighted rates. If EE pays the whole amount then update. If shared between EE and ER, add or remove from ER cost so deductions stay the same.</t>
  </si>
  <si>
    <t>Updating the Premium rates for the Plans dental and Vision.</t>
  </si>
  <si>
    <t>Quest Building Corp</t>
  </si>
  <si>
    <t>Create an Owners Department with EE deductions = $0 for the following plans. Medical,Dental,Vision</t>
  </si>
  <si>
    <t>Create an Owners Department with EE deductions = $0 for the following plans for Medical,Dental,Vision. Owners department is eligible for all the plans</t>
  </si>
  <si>
    <t>K2 Construction</t>
  </si>
  <si>
    <t xml:space="preserve">Create a location called: Frontier Environmental and move employees. Should have same benefit structure as K2.  </t>
  </si>
  <si>
    <t>Create a new location named “Frontier Environmental” should have same benefit structure and eligibility as K2 Construction Location.</t>
  </si>
  <si>
    <t>Precision Group</t>
  </si>
  <si>
    <t xml:space="preserve">Please remove PCP requirement for Medical plan type </t>
  </si>
  <si>
    <t>Please remove PCP setup for Medical plan type</t>
  </si>
  <si>
    <t>Stratus Systems LLC</t>
  </si>
  <si>
    <t xml:space="preserve">Update rehire rule to “within 120 days of termination, FOMF rehire date” </t>
  </si>
  <si>
    <t xml:space="preserve">Update rehire rule to “within 120 days of termination, FOMF rehire date for all the plans. </t>
  </si>
  <si>
    <t>Wagner Roofing Company</t>
  </si>
  <si>
    <t>Add Jacks Roofing and Wagner Roofing as Locations</t>
  </si>
  <si>
    <t xml:space="preserve">Add Jacks Roofing as Location in our system and make eligibility the same as the Location of All Employees and Department All Employees.
In regard to renaming location All Employees to Wagner Roofing, we need to check with Russ as this is mapped to Noyo.
Process the census data provided in the email.
</t>
  </si>
  <si>
    <t>AXISCADES</t>
  </si>
  <si>
    <t xml:space="preserve">Update Life and Disability termination rule to EOM. </t>
  </si>
  <si>
    <t xml:space="preserve">Status termination rule for all Principal plans should be last day of the month. Hence copy the waiting period rules from accident plan for all the Principal carrier. </t>
  </si>
  <si>
    <t>Please update the Medical plans to self-funded and update the rates for all Medical plans</t>
  </si>
  <si>
    <t>Updated the Medical plans to self-funded and updated the rates for all Medical plans</t>
  </si>
  <si>
    <t>Voluntary Life insurance, spouse rates will be determined based on the spouse’s age.  
LTD and STD benefits, the benefit amount will be rounded to the nearest whole dollar</t>
  </si>
  <si>
    <t>Updated the Configuration rules
Voluntary Life insurance, spouse rates will be determined based on the spouse’s age.  
LTD and STD benefits, the benefit amount will be rounded to the nearest whole dollar</t>
  </si>
  <si>
    <t>Update Medical setup – change plans to self-insured and update fees for both plans with the following: 
| Coverage Tier                | Stop Loss | Medical Admin |
| --------------------- --------| --------- ---| ------------- -------|
| Employee Only              | $202.63   | $64.48                |
| Employee + Spouse      | $547.10   | $174.08              |
| Employee + Child(ren) | $405.27   | $128.95              |
| Family                             | $688.94   | $219.21              |</t>
  </si>
  <si>
    <t>Change the Medical plan setup from Fully Insured to Self-Funded and update Total Premium under FIE and add the below Stop Loss and Admin Fee
| Coverage Tier                | Stop Loss | Medical Admin |
| --------------------- --------| --------- ---| ------------- -------|
| Employee Only              | $202.63   | $64.48                |
| Employee + Spouse      | $547.10   | $174.08              |
| Employee + Child(ren) | $405.27   | $128.95              |
| Family                             | $688.94   | $219.21              |</t>
  </si>
  <si>
    <t xml:space="preserve">Update Deparments
-	Separate Shareholder and Retiree
o	Shareholder - eligible for all benefits. Medical and Dental deductions are post tax.
o	Retiree - eligible for Basic Life and Dental.
-	Move Jason and Todd to Shareholder group
-	Sharon Gray will be in Retiree group
-	Update Lumber Payroll System
</t>
  </si>
  <si>
    <t xml:space="preserve">Separate department Shareholder and Retiree
Delete Shareholder or Retiree and Add new department Shareholder (Non-HSA)
Add new department Retiree
o	Shareholder (Non-HSA) department should have similar eligibility as Managers (Non-HSA)
o	Shareholders (Non-HSA) – make it eligible for all benefits. Medical and Dental deductions are post tax.
o	Retiree - eligible for Basic Life and Dental.
-	Move Jason Shye and Todd Gary to Shareholder (Non-HSA) group effective 4/1/2026
-	Sharon Gray will be in Retiree group effective 4/1/2026
-	Rename the basic life plan from Basic Life - Shareholder or Retiree to Basic Life - Retiree
-	Update Lumber Payroll System
</t>
  </si>
  <si>
    <t>April</t>
  </si>
  <si>
    <t>Voluntary Critical Illness, spouse rates will be determined based on the spouse’s age.</t>
  </si>
  <si>
    <t>Updated the Configuration Rules
Voluntary Critical Illness, Spouse rates will be determined based on the spouse's age</t>
  </si>
  <si>
    <t xml:space="preserve">rehire rule to be if rehired within 13 weeks, date of rehire </t>
  </si>
  <si>
    <t xml:space="preserve">Rehire Rule Has Updated
From “First of the Month Following 0 Day(s) from Date of Rehire” 
To ”Date of Rehire” </t>
  </si>
  <si>
    <t>Reason: There is a significant difference between the premium 
listed on the invoice and the premium in Benefits Junction.</t>
  </si>
  <si>
    <t>Update the Self-funded Invoice rates from the latest period plan year that is from 1/1/2026 to the below rates for all the Medical plans to match carrier invoice provided by client. (attached)</t>
  </si>
  <si>
    <t>Evans Contracting Group</t>
  </si>
  <si>
    <t xml:space="preserve">Create a department “Exception” and update the deductions rates for Michael Cox – deductions for Medical plan needs to be 50% of current deductions. 
So his weekly cost should be $150.31 for EE+SP coverage. </t>
  </si>
  <si>
    <t xml:space="preserve">Created a new department “Exception” and updated the deductions rates for EE# Michael Cox – deductions for Medical plan are 50% of current deductions. 
So his weekly cost is $150.31 for EE+SP coverage. </t>
  </si>
  <si>
    <t>Ahern</t>
  </si>
  <si>
    <t>M3 Insurance</t>
  </si>
  <si>
    <t>Work Info</t>
  </si>
  <si>
    <t xml:space="preserve">Create a Custom Field called “Final Payroll Process Date” under Work Info and do not make it mandatory and enable in reports. </t>
  </si>
  <si>
    <t>Created a Custom Field called “Final Payroll Process Date” under Work Info and enabled in reports.
This for tracking the FSA HC/DC plans when employee is terminated</t>
  </si>
  <si>
    <t>SOAR Transport</t>
  </si>
  <si>
    <t>Russ Blakely &amp; Associates, LLC</t>
  </si>
  <si>
    <t>Update MOO plans waiting period to First of the Month Following or Coinciding with 61 Day(s) from Date of Hire. The same applies to Rehire rules.
Update effective for Matthew Kramer and Gary Millsap to 6/1/2026</t>
  </si>
  <si>
    <t>We have updated the MOO plans waiting period to the first of the month following or coinciding with 61 day(s) from the date of hire. The same applies to rehire rules, and the update is effective for Matthew Kramer and Gary Millsap as of 6/1/2026. Please review.</t>
  </si>
  <si>
    <t xml:space="preserve">Update billing rules for Ameritas carrier:  
No premium for the first month unless it is the 1st. 
The termination rules should remain the same as “Full month premium. </t>
  </si>
  <si>
    <r>
      <rPr>
        <sz val="11"/>
        <color rgb="FF000000"/>
        <rFont val="Calibri"/>
      </rPr>
      <t xml:space="preserve">We have Updated Billing Rules for Ameritas Carrier Plans like Dental, Vision Plans Invoice Addition Retro Rules listed as follows:
</t>
    </r>
    <r>
      <rPr>
        <b/>
        <sz val="11"/>
        <color rgb="FF000000"/>
        <rFont val="Calibri"/>
      </rPr>
      <t xml:space="preserve">Invoice Addition Retro Rules:
- </t>
    </r>
    <r>
      <rPr>
        <sz val="11"/>
        <color rgb="FF000000"/>
        <rFont val="Calibri"/>
      </rPr>
      <t>Full Month Premium" to</t>
    </r>
    <r>
      <rPr>
        <b/>
        <sz val="11"/>
        <color rgb="FF000000"/>
        <rFont val="Calibri"/>
      </rPr>
      <t xml:space="preserve"> " No premium for the first month unless it is the 1st</t>
    </r>
    <r>
      <rPr>
        <sz val="11"/>
        <color rgb="FF000000"/>
        <rFont val="Calibri"/>
      </rPr>
      <t xml:space="preserve"> "
</t>
    </r>
    <r>
      <rPr>
        <b/>
        <sz val="11"/>
        <color rgb="FF000000"/>
        <rFont val="Calibri"/>
      </rPr>
      <t>Invoice Termination Retro Rules:
-</t>
    </r>
    <r>
      <rPr>
        <sz val="11"/>
        <color rgb="FF000000"/>
        <rFont val="Calibri"/>
      </rPr>
      <t>Its remains same as</t>
    </r>
    <r>
      <rPr>
        <b/>
        <sz val="11"/>
        <color rgb="FF000000"/>
        <rFont val="Calibri"/>
      </rPr>
      <t xml:space="preserve"> "Full month premium</t>
    </r>
    <r>
      <rPr>
        <sz val="11"/>
        <color rgb="FF000000"/>
        <rFont val="Calibri"/>
      </rPr>
      <t>"</t>
    </r>
  </si>
  <si>
    <t xml:space="preserve">Update billing rules 
No premium for the first month unless the effective date is the 1st of the month for Additions Correct 
Full month premium for Terminations Correct, and coverage will continue through the end of the month </t>
  </si>
  <si>
    <r>
      <rPr>
        <sz val="11"/>
        <color rgb="FF000000"/>
        <rFont val="Calibri"/>
        <scheme val="minor"/>
      </rPr>
      <t xml:space="preserve">Updated the </t>
    </r>
    <r>
      <rPr>
        <b/>
        <sz val="11"/>
        <color rgb="FF000000"/>
        <rFont val="Calibri"/>
        <scheme val="minor"/>
      </rPr>
      <t>billing rule</t>
    </r>
    <r>
      <rPr>
        <sz val="11"/>
        <color rgb="FF000000"/>
        <rFont val="Calibri"/>
        <scheme val="minor"/>
      </rPr>
      <t xml:space="preserve"> for Carrier - </t>
    </r>
    <r>
      <rPr>
        <b/>
        <sz val="11"/>
        <color rgb="FF000000"/>
        <rFont val="Calibri"/>
        <scheme val="minor"/>
      </rPr>
      <t>The Standard</t>
    </r>
  </si>
  <si>
    <t xml:space="preserve">Change the Rehire rule for Mutual of Omaha carrier for department AllOth, DeptMgr, NonTXFTemp and OKFTemp 
Rehire within 91 days 
First of the Month Following 0 Day(s) from Date of Rehire 
Rehire after 91 days
First of the Month Following 14 Day(s) from Date of Rehire 
Update:, Phillips, Elyse N MOO plans should be effective June 1st. </t>
  </si>
  <si>
    <r>
      <rPr>
        <sz val="11"/>
        <color rgb="FF000000"/>
        <rFont val="Calibri"/>
        <scheme val="minor"/>
      </rPr>
      <t xml:space="preserve">Updated the </t>
    </r>
    <r>
      <rPr>
        <b/>
        <sz val="11"/>
        <color rgb="FF000000"/>
        <rFont val="Calibri"/>
        <scheme val="minor"/>
      </rPr>
      <t>Rehire rule</t>
    </r>
    <r>
      <rPr>
        <sz val="11"/>
        <color rgb="FF000000"/>
        <rFont val="Calibri"/>
        <scheme val="minor"/>
      </rPr>
      <t xml:space="preserve"> from
Rehire within 91 days 
First of the Month Following 0 Day(s) from Date of Rehire 
Rehire after 91 days 
First of the Month Following 30 Day(s) from Date of Rehire
</t>
    </r>
    <r>
      <rPr>
        <b/>
        <sz val="11"/>
        <color rgb="FF000000"/>
        <rFont val="Calibri"/>
        <scheme val="minor"/>
      </rPr>
      <t xml:space="preserve">to
</t>
    </r>
    <r>
      <rPr>
        <sz val="11"/>
        <color rgb="FF000000"/>
        <rFont val="Calibri"/>
        <scheme val="minor"/>
      </rPr>
      <t xml:space="preserve">Rehire within 91 days 
</t>
    </r>
    <r>
      <rPr>
        <b/>
        <sz val="11"/>
        <color rgb="FF000000"/>
        <rFont val="Calibri"/>
        <scheme val="minor"/>
      </rPr>
      <t xml:space="preserve">First of the Month Following 0 Day(s) from Date of Rehire 
</t>
    </r>
    <r>
      <rPr>
        <sz val="11"/>
        <color rgb="FF000000"/>
        <rFont val="Calibri"/>
        <scheme val="minor"/>
      </rPr>
      <t xml:space="preserve">
Rehire after 91 days 
</t>
    </r>
    <r>
      <rPr>
        <b/>
        <sz val="11"/>
        <color rgb="FF000000"/>
        <rFont val="Calibri"/>
        <scheme val="minor"/>
      </rPr>
      <t>First of the Month Following 14 Day(s) from Date of Rehire 
We have updated Phillips, Elyse N MOO plans should be effective June 1st</t>
    </r>
  </si>
  <si>
    <t>Update UHC plans and rates</t>
  </si>
  <si>
    <t xml:space="preserve">We have Ended the current medical plan with 5/31/2026.
1.	We have added the new medical plan in BenJ with new Premiums and Contributions with 6/1/2026
2.	Send new Plan ID to Lumber
3.	Send revised deductions for Medical to Lumber. What will happen to payroll as the they are doing payroll tomorrow (6/12/2026)
4.	Noyo to change the Dynamic Mapping.
5.	Send the census snapshots for all.
</t>
  </si>
  <si>
    <t xml:space="preserve">Please update new hire rule for all departments to “1st of the month following 14 days of Date of Hire” for all plans. 
Update the rehire rule as well – should be after 91 days, “1st of the month following 14 days of Date of rehire”. Within 91 days, it’s FOMF 0 days of rehire
</t>
  </si>
  <si>
    <t xml:space="preserve">Effective June 1: Add new period plan year.
Please update new hire rule for all departments to “1st of the month following 14 days of Date of Hire” for all plans. 
Update the rehire rule as well – should be after 91 days, “1st of the month following 14 days of Date of rehire”. Within 91 days, it’s FOMF 0 days of rehire.
Check all plans once if the rules are same for all CLDD and New Hire, Rehire and Termination then we can remove Waiting Period Rules Based On : Department.	
</t>
  </si>
  <si>
    <t>For Principal plans – update base age for rate calculation to be prior Plan Anniversary Date</t>
  </si>
  <si>
    <t>We have updated the Voluntary Critical Illness Plan setup for Base Age used in rate calculation for new hires.
Previously, the Plan Effective Date was configured to determine age as of the effective date. 
For the plan period 01/01/2026 to 12/31/2026, the base age has been set as 01/01/2026.
For the plan period 01/01/2027 to 12/31/2027, the base age has been set as 01/01/2027.</t>
  </si>
  <si>
    <t>Update location name of Michigan to “Kingsford” 
No change to location code</t>
  </si>
  <si>
    <t xml:space="preserve">We have updated the Department name of Michigan to “Kingsford” </t>
  </si>
  <si>
    <t>Add the following classes and update eligibility accordingly:
•	Full-Time LOA with Benefits – Use this class when an employee is on a Leave of Absence (LOA) and all benefits remain active throughout the leave.
•	Full-Time LOA without Benefits – Use this class when a full-time employee is on a Leave of Absence and all benefits are terminated during the leave.
•	Part-Time LOA without Benefits – Use this class when a part-time employee is on a Leave of Absence. Benefits will not continue while the employee is on leave.</t>
  </si>
  <si>
    <t>We have added the following classes and updated the eligibility accordingly:
•	Full-Time LOA with Benefits – Use this class when an employee is on a Leave of Absence (LOA) and all benefits remain active throughout the leave.
•	Full-Time LOA without Benefits – Use this class when a full-time employee is on a Leave of Absence and all benefits are terminated during the leave.
•	Part-Time LOA without Benefits – Use this class when a part-time employee is on a Leave of Absence. Benefits will not continue while the employee is on leave.</t>
  </si>
  <si>
    <t>Voluntary Life: Age reductions apply first of the month following birthday</t>
  </si>
  <si>
    <r>
      <rPr>
        <sz val="11"/>
        <color rgb="FF000000"/>
        <rFont val="Calibri"/>
        <scheme val="minor"/>
      </rPr>
      <t>We have updated the Voluntary Life plan setup. The age reduction schedule has been changed from "</t>
    </r>
    <r>
      <rPr>
        <b/>
        <sz val="11"/>
        <color rgb="FF000000"/>
        <rFont val="Calibri"/>
        <scheme val="minor"/>
      </rPr>
      <t>Plan Anniversary</t>
    </r>
    <r>
      <rPr>
        <sz val="11"/>
        <color rgb="FF000000"/>
        <rFont val="Calibri"/>
        <scheme val="minor"/>
      </rPr>
      <t>" to "</t>
    </r>
    <r>
      <rPr>
        <b/>
        <sz val="11"/>
        <color rgb="FF000000"/>
        <rFont val="Calibri"/>
        <scheme val="minor"/>
      </rPr>
      <t>the first of the month following the birthday</t>
    </r>
    <r>
      <rPr>
        <sz val="11"/>
        <color rgb="FF000000"/>
        <rFont val="Calibri"/>
        <scheme val="minor"/>
      </rPr>
      <t xml:space="preserve">".
</t>
    </r>
  </si>
  <si>
    <t>All Clients</t>
  </si>
  <si>
    <t>Field Setup</t>
  </si>
  <si>
    <t xml:space="preserve">Marital Status Effective Date and Relationship Effective Date
•	Disable Marital Status Effective Date on the Employee Personal Information page.
•	Remove mandatory requirement for the Dependent Relationship Effective Date from the Dependent Information page.
•	Display Emergency Contacts setup has to be removed for all Lumber clients as this info is already collected on Lumber. But this was enabled for all the client that went live before 4/30/2026.
</t>
  </si>
  <si>
    <r>
      <rPr>
        <sz val="11"/>
        <color rgb="FF000000"/>
        <rFont val="Calibri"/>
        <scheme val="minor"/>
      </rPr>
      <t xml:space="preserve">We have updated the field configuration for all Lumber clients. Below is a summary of the changes that have been implemented:
1. We Disabled the </t>
    </r>
    <r>
      <rPr>
        <b/>
        <sz val="11"/>
        <color rgb="FF000000"/>
        <rFont val="Calibri"/>
        <scheme val="minor"/>
      </rPr>
      <t>"Marital Status Effective Date"</t>
    </r>
    <r>
      <rPr>
        <sz val="11"/>
        <color rgb="FF000000"/>
        <rFont val="Calibri"/>
        <scheme val="minor"/>
      </rPr>
      <t xml:space="preserve"> field on the </t>
    </r>
    <r>
      <rPr>
        <b/>
        <sz val="11"/>
        <color rgb="FF000000"/>
        <rFont val="Calibri"/>
        <scheme val="minor"/>
      </rPr>
      <t>"Employee Personal Information"</t>
    </r>
    <r>
      <rPr>
        <sz val="11"/>
        <color rgb="FF000000"/>
        <rFont val="Calibri"/>
        <scheme val="minor"/>
      </rPr>
      <t xml:space="preserve"> page.
2. We Removed the </t>
    </r>
    <r>
      <rPr>
        <b/>
        <sz val="11"/>
        <color rgb="FF000000"/>
        <rFont val="Calibri"/>
        <scheme val="minor"/>
      </rPr>
      <t>"mandatory requirement"</t>
    </r>
    <r>
      <rPr>
        <sz val="11"/>
        <color rgb="FF000000"/>
        <rFont val="Calibri"/>
        <scheme val="minor"/>
      </rPr>
      <t xml:space="preserve"> for the </t>
    </r>
    <r>
      <rPr>
        <b/>
        <sz val="11"/>
        <color rgb="FF000000"/>
        <rFont val="Calibri"/>
        <scheme val="minor"/>
      </rPr>
      <t>"Dependent Relationship Effective Date"</t>
    </r>
    <r>
      <rPr>
        <sz val="11"/>
        <color rgb="FF000000"/>
        <rFont val="Calibri"/>
        <scheme val="minor"/>
      </rPr>
      <t xml:space="preserve"> field on the </t>
    </r>
    <r>
      <rPr>
        <b/>
        <sz val="11"/>
        <color rgb="FF000000"/>
        <rFont val="Calibri"/>
        <scheme val="minor"/>
      </rPr>
      <t>"Dependent Information"</t>
    </r>
    <r>
      <rPr>
        <sz val="11"/>
        <color rgb="FF000000"/>
        <rFont val="Calibri"/>
        <scheme val="minor"/>
      </rPr>
      <t xml:space="preserve"> page.
3. We Removed the </t>
    </r>
    <r>
      <rPr>
        <b/>
        <sz val="11"/>
        <color rgb="FF000000"/>
        <rFont val="Calibri"/>
        <scheme val="minor"/>
      </rPr>
      <t>"Emergency Contact"</t>
    </r>
    <r>
      <rPr>
        <sz val="11"/>
        <color rgb="FF000000"/>
        <rFont val="Calibri"/>
        <scheme val="minor"/>
      </rPr>
      <t xml:space="preserve"> setup for all Lumber clients.
</t>
    </r>
  </si>
  <si>
    <t>Higdon Construction LLC</t>
  </si>
  <si>
    <t>Update HSA configuration – employees cannot waive HSA plan, and minimum weekly amount is $20</t>
  </si>
  <si>
    <t xml:space="preserve">We have Updated For this group, we are temporarily hardcoding the following settings in the backend. We plan to move these changes on Monday, 07/13/2026.
1. Disable the Decline option by enabling the HSA Employer (ER) Contribution. This workaround is required because the HSA plan setup does not function if the Decline option is unchecked.
2. Set the minimum contribution to $20. If a user enters an amount below $20, the following validation message will be displayed:
3."The minimum weekly HSA contribution is $20. Enter a value of $20 or more."
</t>
  </si>
  <si>
    <t xml:space="preserve">
Update rehire rule for Medical
-	if rehired within 13 weeks, the date of rehire eligibility applies; after 13 weeks, it is FOMF 60 days.
For K2, the rehires are treated as follows
•	If rehired within 30 days (4 weeks), the employee should be reinstated to prior coverage
•	If rehired between 4 weeks and 13 weeks,
o	offer benefits on the rehire date if the break in employment is less than the prior employment duration
o	offer benefits with a new hire waiting period, if the break in employment is longer than the prior employment duration
•	If rehired after 13 weeks, offer benefits with the new hire waiting period.
In our system, for both the API and file feeds, rehires are always handled manually, one by one. Someone must go into the employee record and click the rehire button. For K2, every time we have a rehire, the team should review these rules and apply them accordingly.
These are the steps to handle Rehires for K2
•	If rehired within 30 days (4 weeks),
o	Rehire the employee in BenJ and enroll him in the same benefits he had before. He doesn’t need to re-enroll. In the system, the rehire rule is set up as: if rehired within 13 weeks, coverage starts on the rehire date. So, when you rehire, it automatically uses the rehire date as the effective date, and we should just enroll him in the same benefits he had before as of the rehire date. Also assign it to the product to expire the to-do list. Because the K2 doc says they should not be allowed to make changes without a life event.
•	If rehired between 4 and 13 weeks
o	If the break in employment is less than the prior employment,
	Then you just rehire the employee, and the within-13-weeks rule will be applied by the system, and coverage starts on the rehire date. The employee will receive the email and log in to complete the enrollment.
o	If the break in employment is longer than the prior employment,
	Do not rehire the employee; assign that to the product. We will need to apply the new-hire waiting period to ensure the effective date is shown correctly
</t>
  </si>
  <si>
    <r>
      <rPr>
        <sz val="11"/>
        <color rgb="FF000000"/>
        <rFont val="Calibri"/>
        <scheme val="minor"/>
      </rPr>
      <t xml:space="preserve">
We have updated the Rehire Rule from</t>
    </r>
    <r>
      <rPr>
        <b/>
        <sz val="11"/>
        <color rgb="FF000000"/>
        <rFont val="Calibri"/>
        <scheme val="minor"/>
      </rPr>
      <t xml:space="preserve"> "Within 91 Days of termination date, First of the Month Following 60 Day(s) from Date of Rehire
Others, First of the Month Following 60 Day(s) from Date of Rehire"</t>
    </r>
    <r>
      <rPr>
        <sz val="11"/>
        <color rgb="FF000000"/>
        <rFont val="Calibri"/>
        <scheme val="minor"/>
      </rPr>
      <t xml:space="preserve"> to </t>
    </r>
    <r>
      <rPr>
        <b/>
        <sz val="11"/>
        <color rgb="FF000000"/>
        <rFont val="Calibri"/>
        <scheme val="minor"/>
      </rPr>
      <t xml:space="preserve">"Within 91 Days of termination date, Date of Rehire
Others, First of the Month Following 60 Day(s) from Date of Rehire"
Manual Process by Data Integrations Team
</t>
    </r>
    <r>
      <rPr>
        <sz val="11"/>
        <color rgb="FF000000"/>
        <rFont val="Calibri"/>
        <scheme val="minor"/>
      </rPr>
      <t xml:space="preserve">1.	If rehired within 30 days (4 weeks)
When processing a rehire, the system automatically uses the rehire date as the effective date. The employee should be manually enrolled in the same benefits they had prior to termination, effective as of the rehire date.
Also, assign this record to the Product team so they can expire/end the to-do list. According to the K2 documentation, employees should not be allowed to make benefit changes unless they have a qualifying life event.
Issue: In these scenarios, the rehire activation email is triggered automatically. The current workaround is to temporarily disable the email notification before processing the rehire and then use this approach only for these specific cases.
2.	Rehires Between 4 and 13 Weeks
•	If the break in employment is shorter than the employee's prior period of employment:
o	Rehire the employee as usual.
o	The system will automatically apply the within-13-weeks rule, and coverage will become effective on the rehire date.
o	The employee will receive the rehire activation email and can log in to complete their enrollment.
•	If the break in employment is longer than the employee's prior period of employment:
o	Do not rehire the employee.
o	Assign the case to the Product team.
o	A new-hire waiting period must be applied to ensure the correct benefit effective date is calculated and displayed.
</t>
    </r>
  </si>
  <si>
    <t>The after-OE invoice audit for Howard Sheppard revealed discrepancies between BenJ and the June 2026 carrier invoices. The following updates are needed in BenJ:
Medical Plan (Anthem):
Update rates for new plan year:
Stop Loss Premium: $356.00/mo (Specific $352.14 + Aggregate $3.86)
Admin Fee: $12.00/mo (Admin Fees $35.98 - Pharmacy Rebate Offset $23.98)
Other Fees: $0
Dental Plan (Anthem):
Change plan type effective 6/1/2026:
Change from Fully Insured to Self-Funded
Stop Loss Premium: $0
Admin Fee: $3.60/mo
Other Fees: $0</t>
  </si>
  <si>
    <t>We have updated the Medical and Dental Plan setup below as followes
Medical Plan (Anthem):
Updated rates for existing new plan year:
Stop Loss Premium: $356.00/mo (Specific $352.14 + Aggregate $3.86)
Admin Fee: $12.00/mo (Admin Fees $35.98 - Pharmacy Rebate Offset $23.98)
Other Fees: $0
Dental Plan (Anthem):
Added plan type effective 6/1/2026:
Changed from Fully Insured to Self-Funded
Stop Loss Premium: $0
Admin Fee: $3.60/mo
Other Fees: $0</t>
  </si>
  <si>
    <t>Internal</t>
  </si>
  <si>
    <t xml:space="preserve"> Update the billing rules for Axiscades Principal plans.</t>
  </si>
  <si>
    <r>
      <t>We have updated the billing rules for Axiscades Principal plans as per below.</t>
    </r>
    <r>
      <rPr>
        <b/>
        <sz val="11"/>
        <color rgb="FF000000"/>
        <rFont val="Calibri"/>
        <family val="2"/>
      </rPr>
      <t xml:space="preserve">
Invoice Addition Retro Rules</t>
    </r>
    <r>
      <rPr>
        <sz val="11"/>
        <color rgb="FF000000"/>
        <rFont val="Calibri"/>
        <family val="2"/>
      </rPr>
      <t xml:space="preserve"> : No Premium for first month unless it is 1st</t>
    </r>
    <r>
      <rPr>
        <b/>
        <sz val="11"/>
        <color rgb="FF000000"/>
        <rFont val="Calibri"/>
        <family val="2"/>
      </rPr>
      <t xml:space="preserve">
Invoice Termination Retro Rules </t>
    </r>
    <r>
      <rPr>
        <sz val="11"/>
        <color rgb="FF000000"/>
        <rFont val="Calibri"/>
        <family val="2"/>
      </rPr>
      <t>: Full month premium</t>
    </r>
    <r>
      <rPr>
        <b/>
        <sz val="11"/>
        <color rgb="FF000000"/>
        <rFont val="Calibri"/>
        <family val="2"/>
      </rPr>
      <t xml:space="preserve">
Addition Retro Cap &amp; Termination Retro Cap</t>
    </r>
    <r>
      <rPr>
        <sz val="11"/>
        <color rgb="FF000000"/>
        <rFont val="Calibri"/>
        <family val="2"/>
      </rPr>
      <t xml:space="preserve"> : 3 Months</t>
    </r>
  </si>
  <si>
    <t>Stratus System LLC</t>
  </si>
  <si>
    <t>Update rehire rule to “within 180 days (6 months) of termination, FOMF rehire date for all the plans.</t>
  </si>
  <si>
    <r>
      <rPr>
        <sz val="11"/>
        <color rgb="FF000000"/>
        <rFont val="Calibri"/>
        <scheme val="minor"/>
      </rPr>
      <t xml:space="preserve">Updated the rehire rule to </t>
    </r>
    <r>
      <rPr>
        <b/>
        <sz val="11"/>
        <color rgb="FF000000"/>
        <rFont val="Calibri"/>
        <scheme val="minor"/>
      </rPr>
      <t>“within 180 days (6 months) of termination, FOMF rehire date for all plans.”</t>
    </r>
    <r>
      <rPr>
        <sz val="11"/>
        <color rgb="FF000000"/>
        <rFont val="Calibri"/>
        <scheme val="minor"/>
      </rPr>
      <t xml:space="preserve"> from within 120 days of termination, FOMF rehire date for all plans.</t>
    </r>
  </si>
  <si>
    <t xml:space="preserve">Update waiting period rule to match principal, due to Principal calculating DOH as day 0
-91 days following DOH
Update records that were affected: 
•	Reyes Peralta Angeles - Vision Plan
•	Steven Cahn - Vision Plan
•	Christian Caceres - Critical Illness Plan
</t>
  </si>
  <si>
    <r>
      <rPr>
        <sz val="11"/>
        <color rgb="FF000000"/>
        <rFont val="Calibri"/>
        <scheme val="minor"/>
      </rPr>
      <t xml:space="preserve">We have updated the Waiting period rules for principal carrier plans as follows below
</t>
    </r>
    <r>
      <rPr>
        <b/>
        <sz val="11"/>
        <color rgb="FF000000"/>
        <rFont val="Calibri"/>
        <scheme val="minor"/>
      </rPr>
      <t>New Hires</t>
    </r>
    <r>
      <rPr>
        <sz val="11"/>
        <color rgb="FF000000"/>
        <rFont val="Calibri"/>
        <scheme val="minor"/>
      </rPr>
      <t xml:space="preserve"> - from </t>
    </r>
    <r>
      <rPr>
        <b/>
        <sz val="11"/>
        <color rgb="FF000000"/>
        <rFont val="Calibri"/>
        <scheme val="minor"/>
      </rPr>
      <t>"90 Day(s) Following Date of Hire"</t>
    </r>
    <r>
      <rPr>
        <sz val="11"/>
        <color rgb="FF000000"/>
        <rFont val="Calibri"/>
        <scheme val="minor"/>
      </rPr>
      <t xml:space="preserve"> to </t>
    </r>
    <r>
      <rPr>
        <b/>
        <sz val="11"/>
        <color rgb="FF000000"/>
        <rFont val="Calibri"/>
        <scheme val="minor"/>
      </rPr>
      <t>"91 Day(s) Following Date of Hire"
Rehire</t>
    </r>
    <r>
      <rPr>
        <sz val="11"/>
        <color rgb="FF000000"/>
        <rFont val="Calibri"/>
        <scheme val="minor"/>
      </rPr>
      <t xml:space="preserve"> - from </t>
    </r>
    <r>
      <rPr>
        <b/>
        <sz val="11"/>
        <color rgb="FF000000"/>
        <rFont val="Calibri"/>
        <scheme val="minor"/>
      </rPr>
      <t>"Within 0 Days of termination date, 90 Day(s) Following Date of Rehire
Others, 90 Day(s) Following Date of Rehire</t>
    </r>
    <r>
      <rPr>
        <sz val="11"/>
        <color rgb="FF000000"/>
        <rFont val="Calibri"/>
        <scheme val="minor"/>
      </rPr>
      <t xml:space="preserve"> to </t>
    </r>
    <r>
      <rPr>
        <b/>
        <sz val="11"/>
        <color rgb="FF000000"/>
        <rFont val="Calibri"/>
        <scheme val="minor"/>
      </rPr>
      <t xml:space="preserve">"Within 0 Days of termination date, 91 Day(s) Following Date of Rehire Others, 91 Day(s) Following Date of Rehire"
Class - </t>
    </r>
    <r>
      <rPr>
        <sz val="11"/>
        <color rgb="FF000000"/>
        <rFont val="Calibri"/>
        <scheme val="minor"/>
      </rPr>
      <t>from</t>
    </r>
    <r>
      <rPr>
        <b/>
        <sz val="11"/>
        <color rgb="FF000000"/>
        <rFont val="Calibri"/>
        <scheme val="minor"/>
      </rPr>
      <t xml:space="preserve"> "Date of Class" </t>
    </r>
    <r>
      <rPr>
        <sz val="11"/>
        <color rgb="FF000000"/>
        <rFont val="Calibri"/>
        <scheme val="minor"/>
      </rPr>
      <t>to</t>
    </r>
    <r>
      <rPr>
        <b/>
        <sz val="11"/>
        <color rgb="FF000000"/>
        <rFont val="Calibri"/>
        <scheme val="minor"/>
      </rPr>
      <t xml:space="preserve"> "91 Day(s) Following Date of Class"
</t>
    </r>
    <r>
      <rPr>
        <sz val="11"/>
        <color rgb="FF000000"/>
        <rFont val="Calibri"/>
        <scheme val="minor"/>
      </rPr>
      <t>for Cigna, One america and Vangaurd carrier Plans we have updated only Class from</t>
    </r>
    <r>
      <rPr>
        <b/>
        <sz val="11"/>
        <color rgb="FF000000"/>
        <rFont val="Calibri"/>
        <scheme val="minor"/>
      </rPr>
      <t xml:space="preserve"> "Date of Class" </t>
    </r>
    <r>
      <rPr>
        <sz val="11"/>
        <color rgb="FF000000"/>
        <rFont val="Calibri"/>
        <scheme val="minor"/>
      </rPr>
      <t xml:space="preserve">to </t>
    </r>
    <r>
      <rPr>
        <b/>
        <sz val="11"/>
        <color rgb="FF000000"/>
        <rFont val="Calibri"/>
        <scheme val="minor"/>
      </rPr>
      <t>"90 Day(s) Following Date of Class"</t>
    </r>
  </si>
  <si>
    <t xml:space="preserve">Update new hire rule for Pirncipal plans to include coinciding terminology
Broker said: “your Principal policy includes coinciding language, if a member starts on the first day of the month and their 30th day of employment is on the 1st day of the month, their coverage will be effective first of the month thereafter.”
</t>
  </si>
  <si>
    <r>
      <rPr>
        <sz val="11"/>
        <color rgb="FF000000"/>
        <rFont val="Calibri"/>
        <scheme val="minor"/>
      </rPr>
      <t xml:space="preserve">We have updated the waiting Period rules for Principal Carrier plans as follows below
</t>
    </r>
    <r>
      <rPr>
        <b/>
        <sz val="11"/>
        <color rgb="FF000000"/>
        <rFont val="Calibri"/>
        <scheme val="minor"/>
      </rPr>
      <t xml:space="preserve">New Hires - </t>
    </r>
    <r>
      <rPr>
        <sz val="11"/>
        <color rgb="FF000000"/>
        <rFont val="Calibri"/>
        <scheme val="minor"/>
      </rPr>
      <t>from</t>
    </r>
    <r>
      <rPr>
        <b/>
        <sz val="11"/>
        <color rgb="FF000000"/>
        <rFont val="Calibri"/>
        <scheme val="minor"/>
      </rPr>
      <t xml:space="preserve"> "First of the Month Following with 30 Day(s) from Date of Hire" </t>
    </r>
    <r>
      <rPr>
        <sz val="11"/>
        <color rgb="FF000000"/>
        <rFont val="Calibri"/>
        <scheme val="minor"/>
      </rPr>
      <t xml:space="preserve"> to</t>
    </r>
    <r>
      <rPr>
        <b/>
        <sz val="11"/>
        <color rgb="FF000000"/>
        <rFont val="Calibri"/>
        <scheme val="minor"/>
      </rPr>
      <t xml:space="preserve"> "First of the Month Following or Coinciding with 30 Day(s) from Date of Hire"
Rehire</t>
    </r>
    <r>
      <rPr>
        <sz val="11"/>
        <color rgb="FF000000"/>
        <rFont val="Calibri"/>
        <scheme val="minor"/>
      </rPr>
      <t xml:space="preserve"> - from "</t>
    </r>
    <r>
      <rPr>
        <b/>
        <sz val="11"/>
        <color rgb="FF000000"/>
        <rFont val="Calibri"/>
        <scheme val="minor"/>
      </rPr>
      <t xml:space="preserve">Within 180 Days of termination date, First of the Month Following with 0 Day(s) from Date of Rehire Others, First of the Month Following with 30 Day(s) from Date of Rehire   </t>
    </r>
    <r>
      <rPr>
        <sz val="11"/>
        <color rgb="FF000000"/>
        <rFont val="Calibri"/>
        <scheme val="minor"/>
      </rPr>
      <t xml:space="preserve">to </t>
    </r>
    <r>
      <rPr>
        <b/>
        <sz val="11"/>
        <color rgb="FF000000"/>
        <rFont val="Calibri"/>
        <scheme val="minor"/>
      </rPr>
      <t xml:space="preserve">"Within 180 Days of termination date, First of the Month Following or Coinciding with 0 Day(s) from Date of Rehire Others, First of the Month Following or Coinciding with 30 Day(s) from Date of Rehire"
CLDD </t>
    </r>
    <r>
      <rPr>
        <sz val="11"/>
        <color rgb="FF000000"/>
        <rFont val="Calibri"/>
        <scheme val="minor"/>
      </rPr>
      <t xml:space="preserve">- from </t>
    </r>
    <r>
      <rPr>
        <b/>
        <sz val="11"/>
        <color rgb="FF000000"/>
        <rFont val="Calibri"/>
        <scheme val="minor"/>
      </rPr>
      <t>"First of the Month Following with 30 Day(s) from Date of Class"</t>
    </r>
    <r>
      <rPr>
        <sz val="11"/>
        <color rgb="FF000000"/>
        <rFont val="Calibri"/>
        <scheme val="minor"/>
      </rPr>
      <t xml:space="preserve"> to </t>
    </r>
    <r>
      <rPr>
        <b/>
        <sz val="11"/>
        <color rgb="FF000000"/>
        <rFont val="Calibri"/>
        <scheme val="minor"/>
      </rPr>
      <t>"First of the Month Following or Coinciding with 30 Day(s) from Date of Class"</t>
    </r>
  </si>
  <si>
    <t>Monks Painting</t>
  </si>
  <si>
    <t xml:space="preserve">Add a Full-Time Executive class
-	Adina Erridge
-	Daniel Monks
Update deductions for Medical, Dental, Vision to show $0 EE and full premium as ER cost
</t>
  </si>
  <si>
    <t>We have Created a new Class Full-Time Executive and we set for Executive class Zero deductions for Employee</t>
  </si>
  <si>
    <t>August</t>
  </si>
  <si>
    <t>Altitude Health Services LLC</t>
  </si>
  <si>
    <t xml:space="preserve">Update Stop Loss rates effective 7/1/2026 for UMR Medical 
Employee Only: $200.37 
Employee + Child(ren): $345.86 
Employee + Spouse: $389.53 
Employee + Family: $580.22 </t>
  </si>
  <si>
    <t xml:space="preserve">Update Stop Loss rates effective 7/1/2026 for UMR Medical (7/1/2026 to 8/31/2026) 
Employee Only: $200.37 
Employee + Child(ren): $345.86 
Employee + Spouse: $389.53 
Employee + Family: $580.22 </t>
  </si>
  <si>
    <t xml:space="preserve">Update the Invoice Termination Retro Rule for the MetLife plans from “Full month premium if Terminated after 15th of month” to “Full month premium.” 
The current rule is misaligned with how MetLife actually bills — MetLife does not prorate premiums and charges a full month regardless of when in the month an employee terminates. The existing rule has been generating expected credits for mid-month terminations that MetLife will never process, causing recurring invoice reconciliation discrepancies each cycle. 
Changing this to “Full month premium” will align Benefits Junction with MetLife’s actual billing behavior and eliminate this source of ongoing discrepancies. </t>
  </si>
  <si>
    <t xml:space="preserve">Updated the Invoice Termination Retro Rule for the MetLife plans from “Full month premium if Terminated after 15th of month” to “Full month premium.” 
Changing this to “Full month premium” will align Benefits Junction with MetLife’s actual billing behavior and eliminate this source of ongoing discrepancies. 
</t>
  </si>
  <si>
    <t>Pet Benefit Solutions is rebranding to Wishbone, and all products will be aligned under the Wishbone brand. 
Pet Benefit Solutions currently offers Total Pet Plan, a discount savings plan. As part of the rebrand, Total Pet Plan has been renamed Wishbone Total Pet. Flora Food Group's BenJ and Flimp portals need to be updated to reflect this change - any reference to "Total Pet Plan" should be renamed to "Wishbone Total Pet."
The carrier has provided updated logos, a platform setup guide, and plan descriptions as attachments. Screenshots of the completed updates should be shared with Pet Benefits.</t>
  </si>
  <si>
    <t>We have changed the Carrier name from Pet Benefit Solutions to Wishbone and any reference to "Total Pet Plan" renamed to "Wishbone Total Pet."</t>
  </si>
  <si>
    <t xml:space="preserve">Two configuration changes are needed for ATK Energy Group based on a discrepancy identified between the BenJ system setup and the carrier (Principal) configuration, confirmed by the client contact Jennifer Carroll (TrueNorth Companies) on July 24, 2026.
1. Overage Dependent Rule — Update for All Plans (Principal and Medical/BCBS of OK)
The overage dependent rule in BenJ is currently configured as "When Dependent Turns 26," but Principal is applying "End of Month After 26th Birthday." This discrepancy was identified when Jennifer Grahn's dependent, Gillian Grahn (DOB 03/30/2000), was removed from plans effective 03/30/2026 in BenJ, while Principal's effective removal date was 04/01/2026. Jennifer Carroll confirmed the correct rule is end-of-month after the dependent turns 26. This same correction should also be applied to the Medical (BCBS of OK) plan, which is currently configured with the same "When Dependent Turns 26" rule.
Action: Change overage dependent rule from "When Dependent Turns 26" to "End of Month After 26th Birthday" for all applicable plans including Principal and Medical (BCBS of OK).
2. Voluntary Life Spouse Age Reduction Rule — Update from Plan Anniversary to Birthday
The age reduction rule for Voluntary Life Spouse (and Employee) coverage in BenJ is currently set to apply on the Plan Anniversary. However, Principal applies the age reduction on the dependent's birthday. This was identified for employee Joe Hulett (EE #2886), whose spouse's date of birth is 01/16/1961 and turned 65 on 01/16/2026. Principal already reduced her coverage on the birthday, but BenJ's current setup would not apply the reduction until the next plan anniversary, 01/01/2027. 
Jennifer Carroll confirmed the age reduction should occur on the Birthday to match Principal.
Action: Change Voluntary Life Spouse (and Employee) age reduction rule trigger from Plan Anniversary to Birthday.
</t>
  </si>
  <si>
    <t xml:space="preserve">We have updated the overage-dependent rule from “When Dependent Turns 26” to “End of Month After 26th Birthday” for all applicable plans, including Principal and Medical (BCBS of OK). We also changed the Voluntary Life Spouse (and Employee) age reduction rule trigger from Plan Anniversary to Birthday. </t>
  </si>
  <si>
    <t>Update waiting period rule to include coinciding terminology for all plans</t>
  </si>
  <si>
    <t xml:space="preserve">Updated waiting period rule to include coinciding terminology for all plans
Principal Carrier Waiting Period:
First of the Month Following 12 Month(s) from Date of Hire
To
First of the Month Following or Coinciding with 12 Month(s) from Date of Hire
Other Plans Waiting Period:
First of the Month Following 60 Day(s) from Date of Hire
To 
First of the Month Following or Coinciding with 60 Day(s) from Date of Hire
</t>
  </si>
  <si>
    <t xml:space="preserve">Create a class – “FMLA with Benefits” 
Make it eligible for Basic Life plans. 
Update Elizabeth Rigg to this class – so benefits are removed effective 9/1 </t>
  </si>
  <si>
    <t xml:space="preserve">Create a class – “FMLA with Benefits” 
Make it eligible for all Basic Life plans not just 10k plan. 
Update Elizabeth Rigg to this class – so benefits are removed effective 9/1.  
Change to FMLA with Benefits with effective 8/31/2026. So that Benefits are ended with 9/1/2026 except for Basic Life. </t>
  </si>
  <si>
    <t>Axiscades</t>
  </si>
  <si>
    <t>Company Setup</t>
  </si>
  <si>
    <t xml:space="preserve">Create a custom field for entering Visa information for only for dependents
Name the field “Visa Details"”
</t>
  </si>
  <si>
    <r>
      <rPr>
        <sz val="11"/>
        <color rgb="FF000000"/>
        <rFont val="Calibri"/>
        <scheme val="minor"/>
      </rPr>
      <t xml:space="preserve">We have created a new custom filed setup for only dependent info for entering Visa information and the field has been named </t>
    </r>
    <r>
      <rPr>
        <b/>
        <sz val="11"/>
        <color rgb="FF000000"/>
        <rFont val="Calibri"/>
        <scheme val="minor"/>
      </rPr>
      <t xml:space="preserve">"Visa Details" </t>
    </r>
  </si>
  <si>
    <t>Bryan Construction Inc</t>
  </si>
  <si>
    <t>Add a Location for States – Wisconsin, Florida, and All Other States</t>
  </si>
  <si>
    <r>
      <rPr>
        <sz val="11"/>
        <color rgb="FF000000"/>
        <rFont val="Calibri"/>
        <scheme val="minor"/>
      </rPr>
      <t xml:space="preserve">We have added new Home State Locations like </t>
    </r>
    <r>
      <rPr>
        <b/>
        <sz val="11"/>
        <color rgb="FF000000"/>
        <rFont val="Calibri"/>
        <scheme val="minor"/>
      </rPr>
      <t>"Florida"</t>
    </r>
    <r>
      <rPr>
        <sz val="11"/>
        <color rgb="FF000000"/>
        <rFont val="Calibri"/>
        <scheme val="minor"/>
      </rPr>
      <t xml:space="preserve"> and </t>
    </r>
    <r>
      <rPr>
        <b/>
        <sz val="11"/>
        <color rgb="FF000000"/>
        <rFont val="Calibri"/>
        <scheme val="minor"/>
      </rPr>
      <t>"Wisconsin"</t>
    </r>
    <r>
      <rPr>
        <sz val="11"/>
        <color rgb="FF000000"/>
        <rFont val="Calibri"/>
        <scheme val="minor"/>
      </rPr>
      <t xml:space="preserve"> with same eligible as </t>
    </r>
    <r>
      <rPr>
        <b/>
        <sz val="11"/>
        <color rgb="FF000000"/>
        <rFont val="Calibri"/>
        <scheme val="minor"/>
      </rPr>
      <t>All Employees</t>
    </r>
    <r>
      <rPr>
        <sz val="11"/>
        <color rgb="FF000000"/>
        <rFont val="Calibri"/>
        <scheme val="minor"/>
      </rPr>
      <t xml:space="preserve"> and also We renamed the </t>
    </r>
    <r>
      <rPr>
        <b/>
        <sz val="11"/>
        <color rgb="FF000000"/>
        <rFont val="Calibri"/>
        <scheme val="minor"/>
      </rPr>
      <t xml:space="preserve">"All Employees" </t>
    </r>
    <r>
      <rPr>
        <sz val="11"/>
        <color rgb="FF000000"/>
        <rFont val="Calibri"/>
        <scheme val="minor"/>
      </rPr>
      <t xml:space="preserve">location to </t>
    </r>
    <r>
      <rPr>
        <b/>
        <sz val="11"/>
        <color rgb="FF000000"/>
        <rFont val="Calibri"/>
        <scheme val="minor"/>
      </rPr>
      <t>"All other States"</t>
    </r>
  </si>
  <si>
    <t>Acme Truck Line Inc</t>
  </si>
  <si>
    <t>Auto enrollment Setup</t>
  </si>
  <si>
    <t xml:space="preserve">The auto-enrollment setup for the Basic Life &amp; AD&amp;D, Employer Paid STD and LTD plans needs to be changed from 'Enroll on completion on due date' to 'Enroll on Eligibility.' This was identified during a class transfer review for employees Shannon Slater and Boris Martin. 
Under the current configuration, the system waits until the CLDD to-do item expires before auto-enrolling employees in employer-paid plans. Changing to 'Enroll on Eligibility' will ensure employees are automatically enrolled as soon as they become eligible, and that auto-enrolled plans are pre-selected in the enrollment workflow
</t>
  </si>
  <si>
    <r>
      <rPr>
        <sz val="11"/>
        <color rgb="FF000000"/>
        <rFont val="Calibri"/>
        <scheme val="minor"/>
      </rPr>
      <t xml:space="preserve">We have Updated the Auto enrollment setup for the plans </t>
    </r>
    <r>
      <rPr>
        <b/>
        <sz val="11"/>
        <color rgb="FF000000"/>
        <rFont val="Calibri"/>
        <scheme val="minor"/>
      </rPr>
      <t xml:space="preserve">Basic Life </t>
    </r>
    <r>
      <rPr>
        <sz val="11"/>
        <color rgb="FF000000"/>
        <rFont val="Calibri"/>
        <scheme val="minor"/>
      </rPr>
      <t>and</t>
    </r>
    <r>
      <rPr>
        <b/>
        <sz val="11"/>
        <color rgb="FF000000"/>
        <rFont val="Calibri"/>
        <scheme val="minor"/>
      </rPr>
      <t xml:space="preserve"> STD, LTD </t>
    </r>
    <r>
      <rPr>
        <sz val="11"/>
        <color rgb="FF000000"/>
        <rFont val="Calibri"/>
        <scheme val="minor"/>
      </rPr>
      <t>Plans from "</t>
    </r>
    <r>
      <rPr>
        <b/>
        <sz val="11"/>
        <color rgb="FF000000"/>
        <rFont val="Calibri"/>
        <scheme val="minor"/>
      </rPr>
      <t>Enroll on the completion</t>
    </r>
    <r>
      <rPr>
        <sz val="11"/>
        <color rgb="FF000000"/>
        <rFont val="Calibri"/>
        <scheme val="minor"/>
      </rPr>
      <t xml:space="preserve"> </t>
    </r>
    <r>
      <rPr>
        <b/>
        <sz val="11"/>
        <color rgb="FF000000"/>
        <rFont val="Calibri"/>
        <scheme val="minor"/>
      </rPr>
      <t>of due date"</t>
    </r>
    <r>
      <rPr>
        <sz val="11"/>
        <color rgb="FF000000"/>
        <rFont val="Calibri"/>
        <scheme val="minor"/>
      </rPr>
      <t xml:space="preserve"> to "</t>
    </r>
    <r>
      <rPr>
        <b/>
        <sz val="11"/>
        <color rgb="FF000000"/>
        <rFont val="Calibri"/>
        <scheme val="minor"/>
      </rPr>
      <t>Enroll on Eligibility"</t>
    </r>
  </si>
  <si>
    <t>Change Request Forms - 2025</t>
  </si>
  <si>
    <t>Plan Setups</t>
  </si>
  <si>
    <t>Update rate for Basic Life and AD&amp;D - 50K plan to $0.14 (double check against docs) 
Update rate for UHC Basic Life &amp; AD&amp;D - 80K to $0.12 (double check against docs) 
Critical Illness plan rule update - Premium calculation for spouse should be based on spouse’s age.  
Remove Basic life plan from PT COBRA class.</t>
  </si>
  <si>
    <t xml:space="preserve">BETHANY LUTHERAN 
Basic Life and AD&amp;D - 50k – Update rate effective 1/1/2025 
Life - $0.12  ;AD&amp;D - 0.02 
Voluntary Critical Illness plan rule update - Premium calculation for spouse should be based on spouse’s age. 
Summit Pointe 
UHC Basic Life &amp; AD&amp;D - 80K – Update rate effective 1/1/2025 
Life - $0.10 
AD&amp;D - 0.02 
PT COBRA class  
Remove Basic life - Basic Life and AD&amp;D - 50k plan for this class from initial time. </t>
  </si>
  <si>
    <t>Rakshith</t>
  </si>
  <si>
    <t>https://wfj.teamwork.com/#/messages/1221421</t>
  </si>
  <si>
    <t>With this OE the carrier changed for LTD from Guardian to UNUM and there is only one LTD plan now.
We reviewed the records and found that currently 93 employees are in the LTD 2 division (attached). Can we do the following changes to the division -
Move all 93 employees from LTD 2 to LTD 1 effective 1/1/2025 there will not be any enrollment terminations since both the divisions are eligible for all plans.
After division changes, rename LTD 2 to "LTD 2 - Do Not Use"
Rename LTD 1 to "All Employees"</t>
  </si>
  <si>
    <t>ABCM</t>
  </si>
  <si>
    <t>Rate Correction</t>
  </si>
  <si>
    <t xml:space="preserve">HR is reporting a discrepancy in the rates, and provided a rate sheet. It looks like TN didn’t provide the new rates for the dental plan. </t>
  </si>
  <si>
    <t>Update the above rates. The first table is Premium and the second is contribution.</t>
  </si>
  <si>
    <t>Dilip</t>
  </si>
  <si>
    <t>https://wfj.teamwork.com/app/messages/1221422?scrollTo=4276773</t>
  </si>
  <si>
    <t>Moved employees from class "Brightmark Plastics Renewal Services LLC - LTD 1" to "  Brightmark LLC - FT" effective 1/1/2025.
After moving the employees to the FT class we renamed the "Brightmark Plastics Renewal Services LLC - LTD 1" class to Do Not Use - BPRS LLC - LTD 1 effective 1/1/2025.
100002123,
100002392,
100002171,
100001414,
100002223,
100001415,
100002415
100001676,
100001413,
100002172,</t>
  </si>
  <si>
    <t xml:space="preserve">A and R team noticed a rate difference in the carrier site, and the broker confirmed the Basic AD&amp;D rate went down. Please update the AD&amp;D rate in BenJ for 2025 to .02 per $1,000. 
“Correct, Life / AD&amp;D is .095 / .02 (AD&amp;D went down a cent) and a 2 year Rate Guarantee.”
</t>
  </si>
  <si>
    <t>“Correct, Life / AD&amp;D is .095 / .02 (AD&amp;D went down a cent) and a 2 year Rate Guarantee.”</t>
  </si>
  <si>
    <t>Hilb</t>
  </si>
  <si>
    <t>Payroll team noticed the maximum to the commuter is set to $315, and they want it updated to the IRS allowed maximum. Please update the parking and transit max to $325 effective 1/1/2025 in BenJ</t>
  </si>
  <si>
    <t>Please update the parking and transit max to $325 effective 1/1/2025 in BenJ.</t>
  </si>
  <si>
    <t>The client wants to create information plan pages for Healthiest You and AFLAC to the new hire enrolment workflow. Please create two info plan pages for this info. Use the info from the Flimp site</t>
  </si>
  <si>
    <t xml:space="preserve">Please create two info plan pages for Healthiest You and AFLAC to the new hire enrolment workflow. Use the info from the Flimp site.
We already have AFLAC plan, so create Healthiest You Information Only plan and use info from Flimp
</t>
  </si>
  <si>
    <t xml:space="preserve">During admin training, we discovered that for employee terminations, the benefits term at the end of the month. 
Please update the all plans to terminated at the end of the month for terminations.  </t>
  </si>
  <si>
    <t xml:space="preserve">Updated Termination rules for all plans to be terminated at the end of the month. Even CLDD Terminations to end of the month. </t>
  </si>
  <si>
    <t>TetraMem</t>
  </si>
  <si>
    <t>The broker confirmed the following:  
 “Eligibility is First of the Month Following or Coinciding with Date of Hire, for both Covered California medical plans and all lines of Principal Financial Group coverage. This same eligibility applies to both new hires and re-hires (e.g., if a former employee was rehired by/returned to TetraMem, they'd be eligible for all coverage the first of the month following their re-hire date OR, if their re-hire date fell on the first day of the month, their coverage would start that day).” 
Please update the new hire and rehire for medical and dental to First of the month following or coinciding 0 day(s) from Date of hire.</t>
  </si>
  <si>
    <t xml:space="preserve">Please update the new hire and rehire for medical (Blue Shield of California and Kaiser medical plans also) carrier and All Plan Types of Principal  carrier to “First of the month following or coinciding 0 day(s) from Date of hire”. 
Please also update the same rule for CLDD waiting period rule. No changes to Termination rules. </t>
  </si>
  <si>
    <t>Sievert Electric</t>
  </si>
  <si>
    <t xml:space="preserve">Please make the necessary updates to the system to upload the employee records without SSN by the data team and make it mandatory to employees. Also make the demographic fields non editable to employees as we get the information from Lumber. </t>
  </si>
  <si>
    <t xml:space="preserve">Make the below fields non editable for employees as we are going to get demographic information from Lumber. 
First Name 
Middle Name 
Last Name 
DOB 
Home Address 1 
Home Address 2 
Home State 
Home City 
Home Zip 
Cell Phone 
Also, for admins removed the mandatory for SSN for uploads and adding employees. </t>
  </si>
  <si>
    <t>Meritain became the Medical carrier effective 1/1/2025</t>
  </si>
  <si>
    <t>Update from Aetna to Meritain Health for Medical and HSA plan</t>
  </si>
  <si>
    <t>Setup</t>
  </si>
  <si>
    <t>Anywhere it says ATK Group can you please change the name to ATK Energy Group? This would be in the system and any communications going out to employees.</t>
  </si>
  <si>
    <t>Change the client name to “ATK Energy Group” in all the places including BenJ and Flimp.</t>
  </si>
  <si>
    <t xml:space="preserve">New departments have come over on the demographic file. Please add the following departments, eligibility should match the other departments:  
1) Strategic Client Services 
2) Marketing Channel 
3) Internal Apps </t>
  </si>
  <si>
    <t xml:space="preserve">New departments have come over on the demographic file. We added the following departments, eligibility matches the other departments:  
1) Strategic Client Services 
2) Marketing Channel 
3) Internal Apps </t>
  </si>
  <si>
    <t>Payroll Setup</t>
  </si>
  <si>
    <t xml:space="preserve">Tim confirmed a new group of employees will be bi-weekly, and we only have twice per month pay cycle set up in the system.  
Please set up a bi-weekly pay cycle. 	 </t>
  </si>
  <si>
    <t xml:space="preserve">We have set up a bi-weekly pay cycle.
Hugoton employees should get Every Two Weeks Paycycle.  </t>
  </si>
  <si>
    <t>Rachel noticed the Voluntary Life for the spouse is not matching the MoO certificate. It’s currently set to 50% of the employee coverage but it should be 100%, up to $100,000. Please update this for both Voluntary Life plans</t>
  </si>
  <si>
    <t>Voluntary Life Spouse coverage should be 100%, up to $100,000. We updated this for both Voluntary Life plans</t>
  </si>
  <si>
    <t>​405468​</t>
  </si>
  <si>
    <t>The child vol life amount is $15,000. Right now we have it set up in the system in increments of $5,000 but it shouldn’t be. It is a flat $15,000.</t>
  </si>
  <si>
    <t xml:space="preserve">Basic Life rate updated to $0.050 and the AD&amp;D rate is $0.030
</t>
  </si>
  <si>
    <t>Metal Pros LLC</t>
  </si>
  <si>
    <t>There are multiple plan types are listed for Metal Pros US Legal Sheild plans. Can we put it under one plan type one plan?</t>
  </si>
  <si>
    <t>Add Legal Aid plans in a single plan type instead of multiple. And update the rates</t>
  </si>
  <si>
    <t>Jasmin</t>
  </si>
  <si>
    <t xml:space="preserve">Starting in 2025, we will be responsible for ICCSD ACA monthly tracking. We need to add CLDD to manage variable-hour and part-time employees.
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    </t>
  </si>
  <si>
    <t xml:space="preserve">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 </t>
  </si>
  <si>
    <t>Denna Mathew</t>
  </si>
  <si>
    <t xml:space="preserve">Data team received an error from MoO, and we discovered the dep overage limit is the last day of the month in which your eligible Dependent child reaches the age of 21, or age 25 if a Student for the Voluntary Life. </t>
  </si>
  <si>
    <t xml:space="preserve">Voluntary Life - Overage dependent limit is the last day of the month in which your eligible Dependent child reaches the age of 21, or age 25 if a Student for the Voluntary Life. 
Since we cannot do minimum age setup, we updated the overage setup to first day of the month following the 25th birthday. 
We set the maximum age as 25 for children and will closely monitor their status. Upon reaching the age of 21, CRM will contact the employee to verify the student's status. We will waive their coverage if the child is no longer a full-time student. 
Note: We added a task to do a manual Monthly audit until we develop the functionality. </t>
  </si>
  <si>
    <t>Armstrong Technology Inc</t>
  </si>
  <si>
    <t>KBI</t>
  </si>
  <si>
    <t xml:space="preserve">Dilip found discrepancies in the volumes while working on Noyo. We need to update the following for Basic Life:  
1) Benefit Rounding Rule - Next highest 1000 
2) Age Reduction Rounding Rule – No Rounding 
3) Age Reduction Schedule - Age 65 reduce by 35% and Age 70 reduce by 50% but will not go lower than $1,000 
4) Age Reduction Effective from - The age reduction is on the member date of birthday. 
</t>
  </si>
  <si>
    <t xml:space="preserve">Updated the below for Basic Life plan. 
1) Benefit Rounding Rule - Next highest 1000 
2) Age Reduction Rounding Rule – No Rounding 
3) Age Reduction Schedule - Age 65 reduce by 35% and Age 70 reduce by 50% but will not go lower than $1,000 
4) Age Reduction Effective from - The age reduction is on the member date of birthday. </t>
  </si>
  <si>
    <t xml:space="preserve">Create and setup the Group Life &amp; AD&amp;D and LTD plan. $15k AD&amp;D, $1k LTD, $15k LIFE and enable auto enrollment. </t>
  </si>
  <si>
    <t>Created the Group Life &amp; AD&amp;D and LTD plans. $15k AD&amp;D, $1k LTD, $15k LIFE and enabled auto enrollment for all eligible employees.</t>
  </si>
  <si>
    <t>HR is asking why supporting documentation was not collected for an employee’s status change. Currently, we’re only collecting documentation for marriage, childbirth, and divorce. Please update BenJ to require supporting documentation for all status changes.</t>
  </si>
  <si>
    <t>Please update BenJ to require supporting documentation for all status changes and all applicable plan types</t>
  </si>
  <si>
    <t>Status Changes</t>
  </si>
  <si>
    <t>Add Vision plan in Divorce and Death of Dependent status changes</t>
  </si>
  <si>
    <t>Added Vision plan in Divorce and Death of Dependent status changes
Employee must only be able to remove the dependent from the Vision plan. Must not be able to newly enroll or waive the Vision plan</t>
  </si>
  <si>
    <t xml:space="preserve">Through invoice reconciliation, we discovered the premium for the Platinum plans needs to be updated.
Platinum Plan
Employee + Spouse should be $2,201.30
Employee + Child(ren) should be $1,927.31
</t>
  </si>
  <si>
    <t xml:space="preserve">Update the premiums for the Platinum plan to reflect below for the coverages mentioned.
Employee + Spouse should be $2,201.30 
Employee + Child(ren) should be $1,927.31 
</t>
  </si>
  <si>
    <t xml:space="preserve">Flora’s Cigna medical plan includes a vision benefit, and in our reconciliation process the is seeing the additional amount billed for the vision plan. 
Please update the medical premiums to include the vision premium: 
</t>
  </si>
  <si>
    <t xml:space="preserve">Please update the medical premiums to include the vision premium (Cigna Eye Exam Only rate): </t>
  </si>
  <si>
    <t>LTMS</t>
  </si>
  <si>
    <t>Client renamed from ABCM to LTMS</t>
  </si>
  <si>
    <t xml:space="preserve"> March</t>
  </si>
  <si>
    <t>Juneau Construction Company LLC</t>
  </si>
  <si>
    <t>IMA Financial Group</t>
  </si>
  <si>
    <t xml:space="preserve">Please make demographic fields mandatory for Admins/HR’s excluding Marital Status. Also, the Benefits Company is now IMA Financial Group please update in BenJ. 
Please also update TP or Filmp for the same. </t>
  </si>
  <si>
    <t xml:space="preserve">We have made demographic fields mandatory for Admins/HR’s excluding Marital Status. 
Also, the Benefits Company is now IMA Financial Group please updated in BenJ. 
Also updated TP. </t>
  </si>
  <si>
    <t xml:space="preserve">Update notification recipients to include Haley New: haley.new@onesourcedat.com 
Update new hire elections so they don’t pend HR approval </t>
  </si>
  <si>
    <t xml:space="preserve">Updated notification recipients to include Haley New: haley.new@onesourcedat.com  
Updated new hire elections so they don’t pend HR approval </t>
  </si>
  <si>
    <t xml:space="preserve">Need to update the premiums for HCI- Summit House
Employee deductions should remain the same.
</t>
  </si>
  <si>
    <t>Updated the invoice rates.</t>
  </si>
  <si>
    <t>Update the Basic Life child rates as mentioned below as requested by TransAmerica and Jasmin: 
Employee - $0.120
Spouse - $0.680
Child(ren) - $0.680</t>
  </si>
  <si>
    <t>Updated both the Basic Life plans child rates as mentioned below as requested by TransAmerica and Jasmin: 
Employee - $0.120
Spouse - $0.680
Child(ren) - $0.680</t>
  </si>
  <si>
    <t>Due to a COBRA error, we’ve determined that the medical plan premiums need to be set up in the system, which we previously believed was unnecessary. Since the premiums were not configured, COBRA reported a $0 premium, leading to the issue. 
Because the premiums are tied to Locations (Technology and Manufacturing), we will need to create duplicate medical plans to accommodate the correct premium setup.</t>
  </si>
  <si>
    <t>Created new plan based on location for medical plans and keep the existing plans for Technology Location and create new plan for Manufacturing and Engineering. Deductions rates are same only in invoice rates are changing and it is age based.
Moved employees to new plans with current enrollments.</t>
  </si>
  <si>
    <t xml:space="preserve">WEX flagged a discrepancy for Steve Carter (ID: 66968), stating his COBRA dental start date should be 3/17/2025. However, our system reflects his part-time status effective 3/17/2025, making him COBRA-eligible starting 4/1/2025 per the termination rule.  
Rikki confirmed “Everything should term on date of term, except vision which is end of month.” Please update the division termination rule to date of termination for all plans except for vision. Then correct Steve’s record to reflect the correct termination rules.  </t>
  </si>
  <si>
    <t xml:space="preserve">Updated the division termination rule to date of termination for all plans except for vision. Then corrected Steve’s record to reflect the correct termination rules. </t>
  </si>
  <si>
    <t>HR wasn’t able to enroll an employee due to the PCP requirement. Employees are not access the system, and there is no EDI. Please remove the PCP requirement from both Anthem plans.</t>
  </si>
  <si>
    <t xml:space="preserve">Please remove the PCP requirement from both Anthem plans. </t>
  </si>
  <si>
    <t>Update termination date for Medical only to End of the Month following Date of Termination.</t>
  </si>
  <si>
    <t xml:space="preserve">Update Status Termination date rule for Medical only to “Last day of month following date of termination”. </t>
  </si>
  <si>
    <t xml:space="preserve">Add HSA Plan – details are in renewal wizard.  </t>
  </si>
  <si>
    <t>Update termination date for Dental and Vision to End of the Month following Date of Termination.</t>
  </si>
  <si>
    <t>Update Status Termination date rule for Dental and Vision to “Last day of month following date of termination”. Change rule in the existing period plan year.</t>
  </si>
  <si>
    <t xml:space="preserve">We received the demographic file dated 03/27/2025 with the new department "Technical Operations", "Cloud Operations". Please create the new departments; eligibility should match the other departments.  </t>
  </si>
  <si>
    <t>Add 2 New departments "Technical Operations", "Cloud Operations. The eligibility should match the other departments.</t>
  </si>
  <si>
    <t>HR wants to update employee’s status from terminated to LOA, but we don’t have a CLDD for LOA. Please create a new division ‘LOA No Benefits’ that is not eligible for any plans.  
Then we need to correct Nancy Lopez, 12300, records; reinstate the record and move her to the new LOA division effective 3/24/2025.  
Benefits should term at the end of the month.</t>
  </si>
  <si>
    <t>Please create a new division ‘LOA No Benefits’ that is not eligible for any plans.   
Then we need to correct Nancy Lopez, 12300, records; reinstate the record and move her to the new LOA division effective 3/24/2025.   
Division termination rule should match with the status termination rule for all plans.</t>
  </si>
  <si>
    <t>Pak-Lite Inc</t>
  </si>
  <si>
    <t>The Benefit Company</t>
  </si>
  <si>
    <t xml:space="preserve">The broker confirmed Aetna doesn’t have separate waiting periods for Executives. It should be First of the Month Following or Coinciding with 60 Day(s) from Date of Hire for them as well. Please update the medical plan waiting period. 
Also, please correct ID 1226 medical effective date to 4/1/2025. </t>
  </si>
  <si>
    <t xml:space="preserve">For Executives the rule should be First of the Month Following or Coinciding with 60 Day(s) from Date of Hire for Aetna Medical plan. Please update the medical plan waiting period.  
Also, please correct ID 1226 medical effective date to 4/1/2025. </t>
  </si>
  <si>
    <t xml:space="preserve">A department has been reported to us. Please add Safety as a new department; eligibility should match the other departments. </t>
  </si>
  <si>
    <t>Please add Safety as a new department; eligibility should match the other departments.</t>
  </si>
  <si>
    <t>Metal Pros employee David Weiss is on temporary disability. He was on benefits and supposed to continue paying for it outside of payroll. He stopped paying, and so client has asked that his benefits be terminated. He will remain on payroll, so we need to create a new Division “Leave without Benefits” and move him to that effective Feb 28. (Earlier he was “Termed” effective March 1. That was wrong, so that will need to be corrected with the carriers also</t>
  </si>
  <si>
    <t xml:space="preserve">Create a new Division “Leave without Benefits” and move him to that effective Feb 28. (Earlier he was “Termed” effective March 1. That was wrong, so that will need to be corrected on BenJ and with the carriers. 
I have reverted the Termination entry on BenJ. All you have to do is move employee to “Leave without Benefits” effective Feb 28.
Once changed to benefits not eligible we need to report this to COBRA.
</t>
  </si>
  <si>
    <t xml:space="preserve">While answering questions regarding the HSA, I noticed we were not accounting for the ER contributions in the maximum limits. 
Please adjust the HSA limit to include employer contribution amount in the annual elections. This adjustment will ensure our system limits the maximum contribution as specified in the setup for employees. 
The updated maximum limits are as follows for 2025:
- Single: $4,300 minus $600 equals $3,700
- Family: $8,550 minus $1,000 equals $7,550
</t>
  </si>
  <si>
    <t xml:space="preserve">The updated maximum limits are as follows for 2025: The ER contribution was reduced from max irs limits.
- Single: $4,300 minus $600 equals $3,700
- Family: $8,550 minus $1,000 equals $7,550
</t>
  </si>
  <si>
    <t xml:space="preserve">Ahern Identity Theft Enrollment
Final Plan of Action
- WFJ Population: current covered employees
- Enrollment Period: 4/14 -4/30
- Deductions: Updated deductions will need to be sent on our payroll advice files
- Communication: Enrollment Kick off email on 4/14, email details will be sent
Finalization rule for those that don't take action - keep their current enrollment.
If someone makes a change, it will be effective 4/14/2025. If they don’t make changes current coverage and effective date continues.
</t>
  </si>
  <si>
    <t xml:space="preserve">Create the OE setup for Ahern Identity Theft Enrollment.
Enrollment Period: 4/15 -4/30
Finalization rule for those that don't take action - keep their current enrollment.
If someone makes a change, it will be effective 4/15/2025. If they don’t make changes current coverage and effective date continues.
</t>
  </si>
  <si>
    <t>As part of tracking variable-hour and part-time employees for ACA in BenJ, we are reviewing all the CLDDs. In this process, we identified the part-time no benefits class that should be renamed Teacher.4 no benefits. This class manages the summer check option for employees who are not eligible for benefits.  Only the teachers are eligible for summer check options.  Teachers eligible for benefits are already managed, and this class will be assigned to those who do not qualify for benefits.</t>
  </si>
  <si>
    <t>Rename the class  Part Time Non Benefits Eligible   to Teacher.40 with no benefits</t>
  </si>
  <si>
    <t xml:space="preserve">Add Department “Production” and “Default”  
Department is a 'required' field for Lumber and comes from other ERP system integrations. So we just need to add them. They don't impact eligibility. 
Additionally, we need to add a 'Default" department to assign employees to, if we get feeds with missing department info. This will get over written by later feeds from Lumber as and when they receive the Department from the ERP system You could add both these in a single CRF. </t>
  </si>
  <si>
    <t>Add Department “Production” and “Default”. Eligibility same as other departments</t>
  </si>
  <si>
    <t>Raghu</t>
  </si>
  <si>
    <t xml:space="preserve">Add Division “FT Office – Union Retiree” - They would have the exact same benefits offered through WFJ as the "Office Union" class. </t>
  </si>
  <si>
    <t xml:space="preserve">Added new Division “FT Office – Union Retiree” - It has the exact same benefits offered through WFJ as the "Office Union" class. </t>
  </si>
  <si>
    <t>HSA plan Employer Contribution setup disabled</t>
  </si>
  <si>
    <t>HSA plan Employer Contribution setup disabled
and enrollments with HSA with $0 is changed declined</t>
  </si>
  <si>
    <t xml:space="preserve">We've identified discrepancies between our system rules and Guardian's policies via the API feed. Please update the coverage rules as follows: 
Guardian Basic Life and AD&amp;D – Termination Rule 
Current system logic: Coverage ends the last day of the month following the termination date. 
Correct rule (per Guardian): Coverage ends on the date of termination. 
Example: Jessica Jay, termed 04/02/2025, should have coverage end on 04/02/2025. </t>
  </si>
  <si>
    <t xml:space="preserve">Guardian Basic Life and AD&amp;D Coverage ends on the date of termination. 
Also, correct the impacted employees from Jan 2025. </t>
  </si>
  <si>
    <t>1910 Legacy Enterprises Inc.</t>
  </si>
  <si>
    <t xml:space="preserve">We’re phasing out the using of the COBRA cldds in BenJ which the broker used to track COBRA enrollments for ACA reporting purposes.
Please create a custom free text field called ’COBRA Status’
</t>
  </si>
  <si>
    <t xml:space="preserve">Create a custom free text field called ’COBRA Status’
Jeff Filippo should be listed under the COBRA Division effective 07/01/2024. He needs to be enrolled in Medical (Cigna POS 2500) with EE/SP for ACA Reporting purpose at the end of the year.
</t>
  </si>
  <si>
    <t xml:space="preserve">Outlined below are the Veris monthly charges for the health plan. Just as an FYI, our broker consulting fees will also be included going forward as well as a telehealth visit per month. These will be line items and not included in the employee monthly cost. Please let me know if you have any questions. 
Administrative Fee - $37.27 
Management Fee - $17.99 
Specific Stop Loss: Single - $101.47 
Family - $242.65 
Aggregate Stop Loss - $24.00 </t>
  </si>
  <si>
    <t xml:space="preserve">For Medical plans we have updated Invoice structure from Fully Insured to Self Funded and added the Admin Fees, Stop Loss to it
Administrative Fee - $37.27 
Management Fee - $17.99 
Specific Stop Loss: Single - $101.47 
Family - $242.65 
Aggregate Stop Loss - $24.00 </t>
  </si>
  <si>
    <t xml:space="preserve">Please update QLE effective to FOMF QE
Except for birth, adoption, marriage, legal guardianship, and/or court order which should be Date of QE.
</t>
  </si>
  <si>
    <t xml:space="preserve">Please update QLE effective to FOMF QE. 
Except for birth, adoption, marriage, legal guardianship, and/or court order which should be Date of QE.=
All others QLE already have matching rules except for these 2 QLE. Update the above rule to Dependent loses Coverage and Employee lost Coverage for all plan types.
</t>
  </si>
  <si>
    <t xml:space="preserve">Jennifer has been auditing the Guardian invoices and discovered that the age reduction is missing from the Critical Illness plan.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t>
  </si>
  <si>
    <t xml:space="preserve">For Critical Illness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Make it no rounding. </t>
  </si>
  <si>
    <t>Johnson and Dugan</t>
  </si>
  <si>
    <t xml:space="preserve">Brightmark Plastics Renewal Services filed for bankruptcy and a new company has been created, Brightmark Plastics Ashley ServiceCo LLC.  
We’ll need to create a new class for the company. Please create the following class 
Brightmark Plastics Ashley HoldCo LLC - FT 
eligibility should match Brightmark Plastics Renewal Services LLC - FT 
Brightmark Plastics Ashley HoldCo LLC – PT 
eligibility should match Brightmark Plastics Renewal Services LLC – PT 
Brightmark Plastics Ashley HoldCo LLC LOA 
eligibility should match Brightmark Plastics Renewal Services LLC - FT LOA </t>
  </si>
  <si>
    <t xml:space="preserve">Brightmark Plastics Renewal Services filed for bankruptcy and a new company has been created, Brightmark Plastics Ashley ServiceCo LLC on their end.  
We created a new classes for the company. 
Brightmark Plastics Ashley HoldCo LLC - FT 
eligibility matchs Brightmark Plastics Renewal Services LLC - FT 
Brightmark Plastics Ashley HoldCo LLC – PT 
eligibility matchs Brightmark Plastics Renewal Services LLC – PT 
Brightmark Plastics Ashley HoldCo LLC LOA 
eligibility matchs Brightmark Plastics Renewal Services LLC - FT LOA </t>
  </si>
  <si>
    <t xml:space="preserve">We’ve received a request to add two new locations for O'Rourke Bros:
1.	30 Georgia
2.	RW Remote Work
Both locations will follow the same rules for eligibility, benefits offered, and premium deductions as the existing locations. They will also use the same class structure.
</t>
  </si>
  <si>
    <t xml:space="preserve">Add the below 2 locations. Both locations will follow the same rules for eligibility, benefits offered, and premium deductions as the existing locations. They will also use the same class structure.
1.	30 Georgia
2.	RW Remote Work
</t>
  </si>
  <si>
    <t>Jasmin Smith</t>
  </si>
  <si>
    <t xml:space="preserve">Starting in 2025, we will be responsible for ICCSD ACA monthly tracking. As we began to add part-time and VH employees, we realized that using the All-Employees division  for both eligible part-time and FT employees is confusing, and we should split the All-Employees Division into  
Part-Time Eligible  
Full-time 
Another change we need is to create three new classes and make them ineligible for any benefit. 
Substitutes 
Timesheet 
Coach/club </t>
  </si>
  <si>
    <t>We will be updating the following changes as per the above -
Current Division - "All Employees" renamed to "Full Time"
We added a new division "PT Eligible" - Eligibility  match "Full Time" division.
We added three new classes (Substitutes, Timesheet, Coach/club) which are not eligible for any plans.</t>
  </si>
  <si>
    <t>Interior Investments LLC</t>
  </si>
  <si>
    <t xml:space="preserve">For medical, dental, and vision Rikki confirmed the following:  
“We have confirmed that the New Hire rule should be first of the month following Date of Hire unless hired on the first then it's effective date of hire.” </t>
  </si>
  <si>
    <t xml:space="preserve">On BenJ the rule should be as below for new hire and rehire:  
(First of the Month Following or Coinciding with 0 Day(s) from Date of Hire)  
Once updated, could you have the team correct Morgan, ID 850054, enrollment in the system, so medical, dental and Vision is effective 4/1/2025. </t>
  </si>
  <si>
    <t>Update the Basic Life and Ltd Rates</t>
  </si>
  <si>
    <t>Updated the Basic Life and Ltd Rates</t>
  </si>
  <si>
    <t>Update Auto Enrollment rule to setup to “Enrollment on the completion of due date” for Basic Life,</t>
  </si>
  <si>
    <t>Update Auto Enrollment rule to setup to “Enrollment on the completion of due date” for Basic Life</t>
  </si>
  <si>
    <t>C. Mondavi and Family</t>
  </si>
  <si>
    <t>EPIC</t>
  </si>
  <si>
    <t>Fort Madison and Montrose and Tama Toledo</t>
  </si>
  <si>
    <t>Soar Transport</t>
  </si>
  <si>
    <t xml:space="preserve">An employee in the Full Time Dental Grandfathered division is declining the medical plan due to becoming eligible for Medicare effective 6/1/2025. They wish to continue their dental coverage; however, this division is currently not eligible for the Dental PPO Medical Waived plan, which is required for employees who opt out of medical coverage. 
Please update the division’s eligibility to include the Dental PPO Medical Waived plan and update the employee’s record accordingly. </t>
  </si>
  <si>
    <t xml:space="preserve">We updates the division’s eligibility of “Full Time Dental Grandfathered” to include the Dental PPO Medical Waived plan. Also, moved this in all the period plan years for this plan. </t>
  </si>
  <si>
    <t xml:space="preserve">From TrueNorth: 
Please add OH-AEP as a department for ATK.
The eligibility rules, benefit plans, and premiums are the same as all other departments.
This has been added to Paylocity and will be included on the demographic file as employees are hired.
</t>
  </si>
  <si>
    <t xml:space="preserve">
Please add OH-AEP as a department. The eligibility rules, benefit plans, and premiums are the same as all other departments.</t>
  </si>
  <si>
    <t xml:space="preserve">No rounding on the Voluntary STD plan </t>
  </si>
  <si>
    <t>Voluntary STD plan – Remove rounding rule and check for volumes after the schedular runs.</t>
  </si>
  <si>
    <t xml:space="preserve">We need to create a class “Part-time” that is ineligible for benefits.  
Not sure if it should be class or division or what grouping it should be. 
 </t>
  </si>
  <si>
    <t xml:space="preserve">We renamed existing SAL – Salaried to Full Time SAL 
We renamed existing HR – Hourly to Full Time HR 
Added the below 2 classes that are ineligible for benefits- 
Part Time SAL 
Part Time HR 
Also, only for the Vision plan we updated the CLDD termination rule from Date of Termination to Last day of month following date of termination. All others plan rules are correct, NO changes done. 
Moved Alexander Cases to that class - Part Time HR effective 5/12/2025, which made him ineligible for benefits 6/1/2025. </t>
  </si>
  <si>
    <t>Update Auto Enrollment rule to setup to “Enrollment on the completion of due date”.</t>
  </si>
  <si>
    <t xml:space="preserve">Update Auto Enrollment rule to setup to “Enrollment on the completion of due date” for Auto Enrollment Plans in the attached file: </t>
  </si>
  <si>
    <t>Nitya Mathew</t>
  </si>
  <si>
    <t>Castles Technology</t>
  </si>
  <si>
    <t>Dickerson Insurance Service</t>
  </si>
  <si>
    <t>Enertia Software</t>
  </si>
  <si>
    <t>Dillingham Benefits</t>
  </si>
  <si>
    <t>Fiore and Sons Inc.</t>
  </si>
  <si>
    <t>Holmes Murphy</t>
  </si>
  <si>
    <t>Mid-Iowa Co-op</t>
  </si>
  <si>
    <t>Mid-Iowa Milling</t>
  </si>
  <si>
    <t xml:space="preserve">Add Aflac plans to Benefits Junction – create custom premium plans 
Mapping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 </t>
  </si>
  <si>
    <t xml:space="preserve">Created custom premium plans as mentioned below -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 </t>
  </si>
  <si>
    <t>Enrollment Summary</t>
  </si>
  <si>
    <t>Ellie reported that the contribution rate shown on the employee’s Enrollment Summary screen was incorrect. It displayed $710.16 instead of the correct employee-only contribution of $559.14.
After reviewing, team confirmed the system is currently configured to show Total Cost (EE + ER) on the employee view. However, Ellie confirmed that only the employee portion should be shown.
Please update the configuration for the TetraMem so that the employee Enrollment Summary screen displays only the employee-paid contribution (EE Pays), not the total cost (EE + ER).
•	Current behavior: Employee view shows total cost = $559.14 (EE) + $151.02 (ER) = $710.16
•	Requested behavior: Employee view should only show $559.14</t>
  </si>
  <si>
    <t>Please update the configuration for the TetraMem so that the employee Enrollment Summary screen displays only the employee-paid contribution (EE Pays), not the total cost (EE + ER).</t>
  </si>
  <si>
    <t xml:space="preserve">Emily confirmed that Kathy’s setup should mirror Retiree B (district-paid) but with rates effective 7/1/2024. To support this, a new retiree location is needed that reflects these terms. Kathy should also be eligible for employee-paid dental, COBRA vision, and basic life continuation. She should not be direct billed by Wellmark. 
Please create a new location in the system with the following configuration: 
Location Name: Retiree Dist-Pay 2025 
Eligibility: 
Medical: Retiree Medical – district-paid, using 2024 rates 
Other plans: match the Retiree OE Dist-Pay eligibility.  
Map this new location to: Retiree B account code for Wellmark reporting purposes (not direct billed) </t>
  </si>
  <si>
    <t xml:space="preserve">Added new location "Retiree Dist-Pay 2025" 
Medical: Retiree Medical – district-paid, using 2024 rates 
Eligible for employee-paid dental, COBRA vision, and basic life continuation 
Other plans: match the Retiree OE Dist-Pay eligibility. 
Kathy Jenkins is moved into Retiree Dist-Pay 2025 effective 6/30/2025. </t>
  </si>
  <si>
    <t xml:space="preserve">Please add a new department, eligibility should match the other departments:
June Bug
</t>
  </si>
  <si>
    <t xml:space="preserve">Update OAD rule so that dependent terminates EOM following turning 26.  </t>
  </si>
  <si>
    <t xml:space="preserve">Updated OAD rule so that dependent terminates EOM following turning 26 for Medical, Dental and Vision plans. </t>
  </si>
  <si>
    <t>HealthCare Access Maryland Inc</t>
  </si>
  <si>
    <t>Tribridge Partners</t>
  </si>
  <si>
    <t xml:space="preserve">We need to enable documents required for QLEs. (except Child Birth) 
Add cbush1@hcamaryland.org to pending transactions and update CDS </t>
  </si>
  <si>
    <t xml:space="preserve">We need to enable documents required for QLEs. (except Child Birth). This applies to all plan types. 
Add cbush1@hcamaryland.org to pending transactions and update CDS </t>
  </si>
  <si>
    <t>Update the FSA termination rule for Location changes so that the termination date aligns with the end of the month (e.g., 7/1/2025 for a 6/30/2025 event), instead of the current “date of termination” rule.</t>
  </si>
  <si>
    <t xml:space="preserve">Update the FSA termination rule for Location changes so that the termination date aligns with the end of the month.
Update Kathy Jenkins effective date if impacted.
</t>
  </si>
  <si>
    <t>To allow the BenefitsDesk team to review if dependents are added and start the dependent verification process when needed</t>
  </si>
  <si>
    <t xml:space="preserve">Transaction Approval Setup needs to be enabled for New Hires. 
Select the option for New Hires - Only Enrollment Transactions needs approval
</t>
  </si>
  <si>
    <t>The request is to update the Medical Stop Loss and Transplant premiums in the system for Plans A, B, and C, effective 7/1/2025, to reflect the newly confirmed rates from the July invoice. These updated rates were confirmed by the broker as accurate and should replace the old rates currently configured in Benefits Junction.</t>
  </si>
  <si>
    <t>The request is to update the Medical Stop Loss and Transplant premiums in the system for Plans A, B, and C, effective 7/1/2025, to reflect the newly confirmed rates from the July invoice. Confirmed New Rates to be Updated: Stoploss and Transplant = Other Fees. The Admin Fee and FIE remains same.</t>
  </si>
  <si>
    <t>The request is to update the Medical Stop Loss premium rate for both medical plans, effective 6/1/2025, from the previously configured $323.63 to the correct amount of $327.38, based on True North’s confirmation</t>
  </si>
  <si>
    <t xml:space="preserve">The request is to update the Medical Stop Loss premium rate for both medical plans, effective 6/1/2025, from the previously configured $323.63 to the correct amount of $327.38, based on True North’s confirmation.
The updated total premium includes:
•	Stop Loss Premium: $315.38
•	Admin Fee: $12.00
•	Total Monthly Premium: $327.38
</t>
  </si>
  <si>
    <t xml:space="preserve">	Johnson and Dugan</t>
  </si>
  <si>
    <t>The request is to update the company class name in the system from “Brightmark Plastics Ashley HoldCo LLC” to “Brightmark Plastics Ashley ServiceCo LLC.” The client, Brightmark, has confirmed that the current name is incorrect and does not reflect the proper legal entity.</t>
  </si>
  <si>
    <t xml:space="preserve">Please change the classes name to Brightmark Plastics Ashley ServiceCo LLC.
Brightmark Plastics Ashley HoldCo LLC – FT to Brightmark Plastics Ashley ServiceCo LLC - FT
Brightmark Plastics Ashley HoldCo LLC – PT to Brightmark Plastics Ashley ServiceCo LLC - PT 
Brightmark Plastics Ashley HoldCo LLC LOA to Brightmark Plastics Ashley ServiceCo LLC - FT LOA
</t>
  </si>
  <si>
    <t>The request is to remove the age reduction rule currently applied to Voluntary Life and Voluntary Spouse Life coverage and instead pass the full elected volume on the file feed to Principal. To maintain accurate payroll deductions, we will apply the age-based reduction through the rate structure rather than reducing the coverage amount in the system. A message will also be added to the plan information section to clarify this for employees.</t>
  </si>
  <si>
    <t xml:space="preserve">•	Remove the age reduction setup
•	Adjust the rate structure to reflect the age-based reduction through the rates themselves (see rates below)
•	Update the affected employee records to reflect the original elected volume after which review to see if the premium remains same after the setup change.
</t>
  </si>
  <si>
    <t xml:space="preserve">Update the eligibility in the system to ensure the Full Time Grandfather division is marked as eligible for Critical Illness coverage. This update aligns with the client’s intent for all divisions to have access to the Critical Illness benefit. </t>
  </si>
  <si>
    <t xml:space="preserve">Updated the eligibility in the system to ensure the Full Time Grandfather division is marked as eligible for Critical Illness coverage. This update aligns with the client’s intent for all divisions to have access to the Critical Illness benefit. </t>
  </si>
  <si>
    <t xml:space="preserve">	Alera Group</t>
  </si>
  <si>
    <t xml:space="preserve">Update Effective Date for Qualifying events
-	Birth, Adoption, and placement for adoption                should be Date of QE
-	The rest should be FOMF Date of QE
</t>
  </si>
  <si>
    <t xml:space="preserve">-	Update Marriage status change rule to FOMF Date of QE for all plan types. All other rules are correct
-	Enable Employee gained other Coverage for all the plan types with rule FOMF Date of QE
-	Setup Accident plan with status change and update rules same as other plan types.
</t>
  </si>
  <si>
    <t>SPC Mechanical</t>
  </si>
  <si>
    <t>We still want to make sure they are terminating on the same day as we enter, even though their coverage is valid through the end of the month. I believe we pay a month ahead on vision, so they are technically covered through the end of the month that they terminate.” Ticket 428082</t>
  </si>
  <si>
    <t>Update the Vision plan coverage to terminate end of the month. This applies to all the termination rules including CLDD and Work Country.</t>
  </si>
  <si>
    <t>We have renamed the departments below as mentioned to match with Paycor.
Department Name	Renamed To
Administration	105 - Admin*Administration
MATCH - Foster Care	200 - MATCH*Foster Care
Care Coordination	201 - ACC*Care Coordinator
Connector	310 - Central*Connector Enrollment
Eligibility	602 - EL*Eligibility
Returning Citizens Health Link	902 - Centurion*
Community Diabetes Initiative	881 - CDI*Community Diabetes Initi
Recovery Care Services	501 - BHSB-SCC*State Care Coord
Population Health	202 - Exp-ACC*Supplemental (Exp)
Baltimore Health Corps	527 - BCo-SCC*Baltimore Co Care Coor
Added the below new departments- 
New Departments
9999 - Prior Terminated EEs
870 - Corizon Health*YesCare
314 - Mid West*Connector Modified
806 - MCH_HV*MCH Home Visiting
887 - BJA*
905 - MCHRC-Dental*
502 - BHSB-PPP*Preg Post Partum
904 - Neighborhood Nursing*Weinberg
906 - Neighbor Nursing*JHSON
889 - PIGF-RCCC*
Reference to this is https://secure.helpscout.net/conversation/2946482040/420654</t>
  </si>
  <si>
    <t xml:space="preserve">Please make the changes as mentioned above for Departments to match with Paycor.
After all the changes, move employees to BenJ as per Paycor report with Finch.
</t>
  </si>
  <si>
    <t>Dilip Kumar</t>
  </si>
  <si>
    <t>Some employees work less than full time, but more than 30hours, and so they will be classified as Part Time Benefits Eligible. We need a new Class for this.</t>
  </si>
  <si>
    <t>Create a new class named “Part-Time Benefits Eligible”. The eligibility is same as Full-Time employees.</t>
  </si>
  <si>
    <t>Message Setup</t>
  </si>
  <si>
    <t>To update the email sent when an employee moves from VH Ineligible to benefit-eligible so it matches the New Hire Welcome Email. This ensures consistent messaging and clear instructions.
Employees transitioning to benefits are confused due to a lack of detailed instructions. Aligning the email content will reduce confusion and improve the onboarding experience.</t>
  </si>
  <si>
    <t>Update Eligibility for New plans email to match the New Hire Welcome Email.</t>
  </si>
  <si>
    <t xml:space="preserve">	Juan</t>
  </si>
  <si>
    <t>The request is to add a new division, NOMAD Power Group, under ATK. This is needed because ATK has acquired another company, and the employees of NOMAD Power Group must be recognized in the benefits and payroll systems.</t>
  </si>
  <si>
    <t>Please create a new department with the name Nomad Power Group. The eligibility is similar to June Bug,</t>
  </si>
  <si>
    <t xml:space="preserve">We have removed the SSN required for admins and employees (New Hire and Existing). </t>
  </si>
  <si>
    <t>Updated New Hire Window Rule from 30 Day(s) Following Date of Eligibility to 90 days from DOH</t>
  </si>
  <si>
    <t xml:space="preserve">Updated New Hire Window Rule to 90 Day(s) Following Date of Eligibility
Also, identify all the impacted employees new hire send to product team to provide the new hire window for the impacted employees.
</t>
  </si>
  <si>
    <t>Update QLE for STD plan</t>
  </si>
  <si>
    <t>Add status change setup for Vol STD plan. Also Inez needs to be removed from the STD coverage. I need to know if your team can get me a report of all individuals enrolled in STD that contains their initial enrollment date and hire date.</t>
  </si>
  <si>
    <t>Partyush</t>
  </si>
  <si>
    <t xml:space="preserve">What is the request?
Enable the status change option for Vision plan in the system. The functionality should mirror how status changes are currently handled for Medical and Dental.
Why is this needed?
HR has specifically requested that Vision be included in the status change workflow going forward. 
</t>
  </si>
  <si>
    <t>Enable the status change option for Vision plan in the system. Should mirror how status changes are currently handled for Medical and Dental</t>
  </si>
  <si>
    <t>Full-time hourly is eligible for life and disability plans</t>
  </si>
  <si>
    <t xml:space="preserve">can we also a run a report and see who else should be enrolled?
Employee Name	Employee ID
Kurz, Robert	14611281-0838-3fd2-87a8-4524b558ea00
Forte, Bruno	1c33edef-5379-3123-8184-df240a7aec94
Rivera, Mario	49366098-2f3a-3e36-83ca-c669c12e0df2
Nelms, Jack	b2a5b42f-c7d0-3261-b564-b52ad6c6955f
Gonzalez, Cristian	b7a44430-bee7-3f6b-b47f-cffc481ab384
</t>
  </si>
  <si>
    <t>September</t>
  </si>
  <si>
    <t>We have received the demographic file dated 08/28/2025 with the new location "Northpointe".
Could you please update the new location in our system and confirm?</t>
  </si>
  <si>
    <t>Added the new location Northpointe</t>
  </si>
  <si>
    <t>Kiran</t>
  </si>
  <si>
    <t xml:space="preserve">Update the Basic Life plan setup so that Class 1 correctly reflects Executives (2x salary up to $400,000) and Class 2 reflects All Other FT Employees (1x salary up to $150,000). Move David Pritchard into Class 1 and remove the unused Class 3. 
David should remain in the Grandfathered Employee Class; so update the Class 1 plan to include his class.  </t>
  </si>
  <si>
    <t>We received the demographic file dated 09/10/2025 with the new department "HUMAN RESOURCES".</t>
  </si>
  <si>
    <t>We have added the new Department Human Resources</t>
  </si>
  <si>
    <t>Vamsi</t>
  </si>
  <si>
    <t xml:space="preserve">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
</t>
  </si>
  <si>
    <t xml:space="preserve">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
</t>
  </si>
  <si>
    <t>New Departments are added, eligibility matches with other departments - 
Care Coordination
Recovery Care Services
Returning Citizens Health Link</t>
  </si>
  <si>
    <t>Update the rule to Plan Anniversary for the MOO plans</t>
  </si>
  <si>
    <t xml:space="preserve">Update the rule to Plan Anniversary for Age band changes and Age reduction for the MOO plans. 
Basic Life and AD&amp;D - 50k – Age reduction setup from Birthday to Plan Anniversary.
Voluntary Short-Term Disability - Age band changes from Month following birthday to Plan anniversary.
Voluntary Life and AD&amp;D - Age band changes from Month following birthday to Plan Anniversary and Age reduction EE Birthday and SP Month following birthday to Plan Anniversary.
Voluntary Critical Illness – Add age reduction setup and update reduction rule to from Birthday to Plan Anniversary.
</t>
  </si>
  <si>
    <t xml:space="preserve">Please create these classes and make them eligible for the associated benefits.  
Part-Time (20-30hrs) - M/D/V/401k 
Part-Time &lt;20hrs) - 401k 
Casual - No benefits </t>
  </si>
  <si>
    <t xml:space="preserve">Rename Part Time SAL to Part Time (20-30hrs) – Eligible for M/D/V/401k, Part-time 20-30hrs class should be eligible for the same medical plan as the Full-time hourly. (Blue Choice Options MIBCO2040) 
Kurz, Robert should be moved to Part Time (20-30hrs) 
Rename Part Time HR to Part Time (&lt;20hrs) – Eligible for 401k Only. 
Add new Class named Casual – Not eligible for any benefits as they are College Students. </t>
  </si>
  <si>
    <t>Remove accident plan from status change. Accident is not eligible for status changes.</t>
  </si>
  <si>
    <t>Requested to add new department "Generic"</t>
  </si>
  <si>
    <t>October</t>
  </si>
  <si>
    <t xml:space="preserve">What is the request and why? 
Add a custom field called Cost Center for employees records which Flora Food will provide an 8-digit cost center code. The cost center data will be sourced from the demographic file feed.  
What problem is it trying to solve for? 
This change will allow Flora’s HR and accounting teams to allocate benefit costs accurately across internal entities. Currently, reconciliation reports do not distinguish which internal company or cost center an employee belongs to, making it difficult for the client to align payroll deductions and carrier billing with their internal accounting structure. </t>
  </si>
  <si>
    <t xml:space="preserve">Add a custom field called Cost Center for employees records which Flora Food will provide an 8-digit cost center code. The cost center data will be sourced from the demographic file feed. </t>
  </si>
  <si>
    <t xml:space="preserve">Currently system is set to employer does not contribute to HSA but they do contribute. We need to update change this in Benj.
From Client
Please update the system to reflect the following: Phillips May will contribute $200 initially plus $19.23 per pay period for a total of $1200 annually. Can we have this updated before tomorrow when Philip closes out payroll?
Update the setup in HSA plan Employer Contribution to “Yes”.
</t>
  </si>
  <si>
    <t xml:space="preserve">Update the setup in HSA plan Employer Contribution to “Yes”.
Also, update the above message in plan info sections.
Also, identify the impacted employees enrolled in Medical HDHP. Enroll them in HSA with zero amount.
This should be captured in EDI as enrolled
</t>
  </si>
  <si>
    <t>Odyssey Manufacturing Co</t>
  </si>
  <si>
    <t xml:space="preserve">Disable same sex spouse, same sex marriage </t>
  </si>
  <si>
    <t xml:space="preserve">Disable same sex spouse, same sex marriage in the set up. </t>
  </si>
  <si>
    <t>Update rehire rule to FOMF 60 days of rehire  
For individuals being rehired within the same Employer Identification Number (EIN), if the Lumber feeds identify them as a rehire, we should check if it falls within 91 days. If it does, they should be eligible right away</t>
  </si>
  <si>
    <t xml:space="preserve">Update the rehire policy to FOMF: 60 days of rehire, regardless of when they are rehired.  
Rehires within 91 days (Date of Rehire) should be handled manually. When such cases occur, we may have to involve SaaS to get the waiting period to be  the rehire date. </t>
  </si>
  <si>
    <t xml:space="preserve">Update class rule for all plans to first of the month following 60 day rule </t>
  </si>
  <si>
    <t>Update the class change rule to "First of the Month Following 60 Days from the Date of Class" for all plans.</t>
  </si>
  <si>
    <t xml:space="preserve">We need to update the medical plan setup based on the new Cigna structure and the broker’s direction.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We also need to update the medical plan eligibility rules so the system uses the employee’s home state to determine which plans they can see. Right now, there’s no location-based eligibility in place. The goal is to make sure: 
Ohio and Oklahoma employees can only see the HDHP Base and the Buy-Up plan 
The $0 SimplePlan Tiered Mid-Plan is only available for TX, CO, and NM employees 
As part of this, we’ll need to add location groupings for Ohio, Oklahoma, and Other Locations in the plan eligibility setup. </t>
  </si>
  <si>
    <t xml:space="preserve">We need to add location groupings for Ohio, Oklahoma, and Other Locations in the plan eligibility setup. 
Rename: All Employees to Other Locations 
Add 2 new Locations: Ohio and Oklahoma and Ohio and Oklahoma Mid-Plan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 We don't need to remove the "Other Locations" from the $1,000 PPO Buy-Up Plan (Spouse Surcharge)/ $6,000 HDHP Base Plan (Spouse Surcharge) as they are eligible for all plans.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Important Notes:  
Setting up Zip code eligibility is not recommended. I see demographic uploads. Data Integrations need to assign Location based on Home State. We will have to create two locations. 
Oklahoma-Ohio: For new hires, the client should include this in the feed. We also have to update the location of all existing employees who are not in OK or Ohio, and the other 4, to this new location. 
Oklahoma-Ohio Mid-plan: Assign this to the 4 employees </t>
  </si>
  <si>
    <t>Update rule for Critical Illness -  calculate using initial age rate</t>
  </si>
  <si>
    <t xml:space="preserve">Update rule for Critical Illness - Calculate using initial age rate. 
Identify the impacted employees and send to Nitya for her to review and confirm if we need to correct them. </t>
  </si>
  <si>
    <t>Notification</t>
  </si>
  <si>
    <t xml:space="preserve">Please update the change eligibility notification message to better fit the employee situation so it’s less confusing. This language has been reviewed and approved by HR: 
Dear &lt;First Name&gt; &lt;Last Name&gt;, 
Your benefits eligibility status has recently changed. In some cases, this may require you to make new elections. In other cases—such as updates to employer-paid plans like Basic Life—no action is needed. 
Please log in to the Benefits Enrollment System to review your benefits: 
Benefits Enrollment System: &lt;Link&gt; 
Username: &lt;username&gt; 
If an enrollment is required, you’ll see a To-Do item or be guided through the enrollment steps after logging in. 
If no To-Do item appears, your record has already been updated automatically. You can view these changes under My Current Enrollment for confirmation. </t>
  </si>
  <si>
    <t xml:space="preserve">Update Eligibility for New plans email </t>
  </si>
  <si>
    <t xml:space="preserve">Please add a new division name 150 Supply Chain, eligibility should match the other divisions. </t>
  </si>
  <si>
    <t xml:space="preserve">We added a new division name 150 Supply Chain, eligibility should match the other divisions. </t>
  </si>
  <si>
    <t>November</t>
  </si>
  <si>
    <t xml:space="preserve">The Newly Enrolled Dependents report has now been developed and is live. This gives us the ability to run a weekly report to track any newly added dependents for verification.
Because we now have this report, we no longer need to use the workaround of pending new hire enrollments for ICCSD in order to monitor dependent activity. With that in place, we can go ahead and disable the pending option for new hire enrollments for Iowa City Community School District.
Note: statue changes should continue to pend for approval.
</t>
  </si>
  <si>
    <t>Disable the pending transactions option for new hire enrollments for Iowa City Community School District.</t>
  </si>
  <si>
    <t>Update rounding rule for STD to Rounding Down to $50</t>
  </si>
  <si>
    <t>Update rounding rule for STD to Rounding Down to $50 and update the employee (Donnell L Chambers) record volume for STD from $720 to $700.</t>
  </si>
  <si>
    <t xml:space="preserve">Update rules 
Critical illness - age reductions occur immediately following the member turning age 70. Change to month following birthday. 
Life Insurance – reduction become effective FOMF birthday. I think this is how it is but please check and let me know.  
 </t>
  </si>
  <si>
    <t xml:space="preserve">For Mutual of Omaha plan Voluntary Critical Illness and Basic Life and AD&amp;D - 50k plan, We have updated the age reduction effective rule to “Month Following Birthday” </t>
  </si>
  <si>
    <t>Employees have been updating their names in the portal without
providing the required documentation to HR first. This has
created discrepancies with the carriers—for example, employee
#15178 (Tiger Torres / Katalina Torres) updated their name in
the portal before submitting supporting documents, which
resulted in an incorrect name being sent to Delta Dental.</t>
  </si>
  <si>
    <t>We have updated that employees won't be able to edit their first
name, last name, and middle name. These can only be updated by
the HR Admin directly</t>
  </si>
  <si>
    <t xml:space="preserve">Update the voluntary life rounding rules for Pak-Lite as follows:
•	Employee Voluntary Life: Round the elected amount up to the next highest $10,000 increment.
o	Example: $202,384 → $210,000.
•	Spouse Voluntary Life: Round the elected amount up to the next highest $5,000 increment
</t>
  </si>
  <si>
    <t xml:space="preserve">Update the COVERAGE rounding rule for Voluntary Life plan for EE and SP as mentioned above.
Employee Voluntary Life: Round the elected amount up to the next highest $10,000 increment. 
Spouse Voluntary Life: Round the elected amount up to the next highest $5,000 increment </t>
  </si>
  <si>
    <t>December</t>
  </si>
  <si>
    <t xml:space="preserve">Please update 60 - 100 with a monthly rate of $6.19/1000 </t>
  </si>
  <si>
    <t xml:space="preserve">We have updated 60 - 100 with a monthly rate of $6.19/1000 </t>
  </si>
  <si>
    <t xml:space="preserve">Update Voluntary Life waiting period rule to First of the Month Following or Coinciding with 0 day(s) from Date of Hire. Also, update Coinciding for rehire rule as well. 
This should match the existing configuration for Dental and Vision. </t>
  </si>
  <si>
    <t xml:space="preserve">We have updated the  Voluntary Life waiting period rule to First of the Month Following or Coinciding with 0 day(s) from Date of Hire. Also, updated the Coinciding for rehire rule as well. </t>
  </si>
  <si>
    <t>Changing HSA vendor to Empower effective 1/1/2026</t>
  </si>
  <si>
    <t>Changing HSA vendor to Empower effective 1/1/2026. As there is no impact in EDI change exiting carrier from Health Equity to Empower.</t>
  </si>
  <si>
    <t>Mangieri Electric</t>
  </si>
  <si>
    <t>Change the new hire/rehire waiting period from 90 to 91 days from date of hire for Principal carrier.</t>
  </si>
  <si>
    <t>Update the new hire/rehire waiting period from 90 to 91 days from date of hire for Principal carrier.</t>
  </si>
  <si>
    <t xml:space="preserve">	Jasmin Smith</t>
  </si>
  <si>
    <t xml:space="preserve">Domestic Partner (DP) coverage is currently enabled for Medical only. DP coverage needs to be enabled across all plans for ATK Energy Group, including Dental, Vision, and Voluntary Life (Principal).
The broker has confirmed that Principal allows Domestic Partner coverage, and this should apply to all applicable benefit plans for the 2026 plan year.
Requested Changes
1.	Update plan configuration to enable Domestic Partner coverage across all plans (Medical, Dental, Vision, and Voluntary Life), effective 1/1/2026.
</t>
  </si>
  <si>
    <t>Update plan configuration to enable Domestic Partner coverage across all plans (Medical, Dental, Vision, and Voluntary Life), effective 1/1/2026.</t>
  </si>
  <si>
    <t xml:space="preserve">Update rule for Critical Illness -  calculate using initial age rate 
12/124 update – it should be full amount at initial age.  </t>
  </si>
  <si>
    <t xml:space="preserve">Update rule for Critical Illness - Calculate using initial age rate. 
Identify the impacted employees and send to Nitya for her to review and confirm if we need to correct them. 
12/124 update – Frozen rate setup, it should be full amount at initial age 
Do an audit to see if the premiums are correct for 2026 as well. </t>
  </si>
  <si>
    <t>Direct Traffic Control Inc</t>
  </si>
  <si>
    <t xml:space="preserve">Create a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 </t>
  </si>
  <si>
    <t xml:space="preserve">Added new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 </t>
  </si>
  <si>
    <t xml:space="preserve">There are a group of people who are not eligible for HSAs - these include managers and non-managers. </t>
  </si>
  <si>
    <t xml:space="preserve">Reason: The below listed should not be offered the HSA plan because they are owners and family members of owners.
We needed to add 2 more benefits departments for Managers (non-HSA) and All Other Employees (non-HSA) to exclude the H.S.A option for the following employees:
Jason Shye -PEI - Managers (non-HSA)
Taylor Couch -PEI - Managers (non-HSA)
Jamie Gray -PEI - All Other Employees (non-HSA)
Todd Gray -PFC - Managers (non-HSA)
Bailey Civelli -PFC - Managers (non-HSA)
Deborah Gray -PFC All Other Employees (non-HSA)
Jacob Couch -PFC - All Other Employees (non-HSA)
Solution: 
Add 2 new departments
All Other Employees (Non-HSA)
Managers (Non-HSA)
Duplicate all the 3 Medical plans.
FHCP BNN HMO OI6/OF6 - No HSA
FL BLUE HMO 132/133 - No HSA
FL BLUE PPO 05194/05195 - No HSA
Do not make these plans eligible for HSA. Move the above listed employees effective 9/1/2025.
</t>
  </si>
  <si>
    <t>Change new hire enrollment duration to 30 days</t>
  </si>
  <si>
    <t>New enrollments during OE require EOI: “If an employee is not enrolled at all, EOI is always required. Only those currently enrolled can elect 1 increment without EOI.”</t>
  </si>
  <si>
    <t>For Voluntary Life During OE If an employee is not enrolled at all, EOI is always required. Only those currently enrolled can elect 1 increment without EOI.”</t>
  </si>
  <si>
    <t>Change Request Forms - 2024</t>
  </si>
  <si>
    <t>Lilium</t>
  </si>
  <si>
    <t xml:space="preserve">Need to add 2 departments 
FLOWTRANS Driver 
OPTIX Driver </t>
  </si>
  <si>
    <t>Added 2 departments 
FLOWTRANS Driver 
OPTIX Driver 
And moved the respective EE's into the new Department</t>
  </si>
  <si>
    <t>Kiranmai</t>
  </si>
  <si>
    <t>Juan Brito</t>
  </si>
  <si>
    <t>Please turn on “Require Proof” for QLE.   Client would like employees to be required to upload proof of QLE when doing a status change in Benefits Junction</t>
  </si>
  <si>
    <t>Require Proof for QLE for all plan types and all events.</t>
  </si>
  <si>
    <t>Janice Baez</t>
  </si>
  <si>
    <t>Deerfield Management</t>
  </si>
  <si>
    <t>Assured Partners</t>
  </si>
  <si>
    <t>Need to add a new division: Health Innovation Management LLCEligibility - plans should be the same as Deerfield Management divisionEDI files need to be updated</t>
  </si>
  <si>
    <t>Add a new division: Health Innovation Management LLCEligibility - plans should be the same as Deerfield Management division</t>
  </si>
  <si>
    <t xml:space="preserve">Basic Life, STD, LTD, Voluntary Life, Hospital Indemnity, Accident Plan, Critical Illness and FSA Dependent Care should terminate date of termination. 
</t>
  </si>
  <si>
    <t xml:space="preserve">Updated the termination rule for Basic Life, STD, LTD, Voluntary Life, Hospital Indemnity, Accident Plan, Critical Illness and FSA Dependent Care to terminate date of termination. 
</t>
  </si>
  <si>
    <t xml:space="preserve">Katie confirmed that the employee moved to Professional eff on 11/16/2023. The waiting period rule for the Department should match the class change rule. 
Please update the department waiting rule for all plans to the following: 
First of the Month Following 30 Day(s) from Date of Department </t>
  </si>
  <si>
    <t>The waiting period rule for the Department should match the class change rule. - First of the Month Following 30 Day(s) from Date of Department</t>
  </si>
  <si>
    <t>We received the demographic file dated 01/02/2024 with the new department "364". Please add the new department.</t>
  </si>
  <si>
    <t>Add new department "364" and the eligibility is same as all other departments.</t>
  </si>
  <si>
    <t>-</t>
  </si>
  <si>
    <t>To match the FSA deductions in the calendar year with UKG in the payroll system. We have to adjust the pay date to match the number deduction in the UKG system</t>
  </si>
  <si>
    <t>We need to replace pay date with paycycle end date. Also, the 1st pay date in the calendar year we use 1/1 to have 26 deductions.</t>
  </si>
  <si>
    <t>Rate Setup</t>
  </si>
  <si>
    <t>HDHP $3500 HDHP/HSA Plan Employee Single Non-Smoker plan employee only contribution is showing as $36.27 per pay and it needs to be $36.30 per pay. The monthly EMPLOYEE CONTRIBUTION should be reflected as $78.65 for the employee.</t>
  </si>
  <si>
    <t>Update the below medical plan Employee only contribution rate to $78.65.
HDHP $3500 HDHP/HSA Plan Employee Single Non-Smoker</t>
  </si>
  <si>
    <t>CEC</t>
  </si>
  <si>
    <t>Added new locations -
001 Cedar Rapids
002 Des Moines
003 Davenport
004 Waterloo
005 Dubuque
006 Madison
007 Green Bay
008 Milwaukee 
All locations are eligible for all plans
Moved employees into the given locations</t>
  </si>
  <si>
    <t xml:space="preserve">HMO plan is eligible for location “147283 – IL”. Remove other location from HMO plans. </t>
  </si>
  <si>
    <t xml:space="preserve">Need to add a new medical plan and employee grouping as Location – Illinois and Non-Illinois 
Medical plan details are provided in renewal wizard 
Effective date change rule is Date of Location 
New location is eligible for all plans 
Names can be distinguish as $1,000 Deductible Illinois and $1,000 Deductible Non-Illinois </t>
  </si>
  <si>
    <t>Added a new medical plan and employee grouping as Location – Illinois and Non-Illinois. 
New location - Non-Illinois is eligible for all plans.
Names of the Medical plans updated as $1,000 Deductible Illinois and $1,000 Deductible Non-Illinois</t>
  </si>
  <si>
    <t>While working through some January invoice discrepancies with Guardian regarding the LTD plan. Guardian came back stating the LTD rate is $0.486 per $100, but what was submitted for the renewal was $0.49 per $100. I confirmed with the broker that the rate is $0.486 per $100 eff. 1/1/2024. Please up the LTD plans.</t>
  </si>
  <si>
    <t>Brightmark LTD rate should be $0.486 per $100 eff. 1/1/2024</t>
  </si>
  <si>
    <t xml:space="preserve">Please update the Enrollment Waiting period to First of the Month Following or Coinciding with 61 Day(s) from Date of Hire 
This is for Basic Life &amp; AD&amp;D Plans, Voluntary Life and Short Term Disability. </t>
  </si>
  <si>
    <t>Updated the Enrollment Waiting period to First of the Month Following or Coinciding with 61 Day(s) from Date of Hire for the below plans -
 Basic Life &amp; AD&amp;D Plans, Voluntary Life and Short Term Disability.</t>
  </si>
  <si>
    <t>Involta LLC</t>
  </si>
  <si>
    <t>We received a new location in a recent demographic. Please add the location. Eligibility should match the other locations. 
New Location - "Green Bay"</t>
  </si>
  <si>
    <t>Please add the location. Eligibility should match the other locations. 
New Location - "Green Bay"</t>
  </si>
  <si>
    <t>EOS Fitness</t>
  </si>
  <si>
    <t>NFP</t>
  </si>
  <si>
    <t>We have received the following 1 new location in recent EOS Fitness Demographic file. Please add to BenJ.
Location - CAI1J
Description - CAI1J - Indio: Hwy 111/Jefferson</t>
  </si>
  <si>
    <t>Please add to BenJ. Eligibility is same as all other locations.
Location - CAI1J
Description - CAI1J - Indio: Hwy 111/Jefferson</t>
  </si>
  <si>
    <t>We received the demographic file dated 01/16/2024 with the new department "332". Please add the new department</t>
  </si>
  <si>
    <t>Please new department "332" and the eligibility is same as all plans</t>
  </si>
  <si>
    <t>Network Transport</t>
  </si>
  <si>
    <t xml:space="preserve">Need to update basic life rate
•	Life rate - $0.190 for each $1000
•	AD&amp;D rate - $0.039 for each $1000
</t>
  </si>
  <si>
    <t xml:space="preserve">Update basic life rate effective 1/1/2024.
•	Life rate - $0.190 for each $1000
•	AD&amp;D rate - $0.039 for each $1000
</t>
  </si>
  <si>
    <t>Hierl Insurance Inc</t>
  </si>
  <si>
    <t xml:space="preserve">Please create a Monthly Payroll option in the Pay cycle drop down menu. 
This is for one employee John Ahern lll. 
Please move him to this pay cycle effective 01/01/2024 once the pay cycle has been set up. </t>
  </si>
  <si>
    <t xml:space="preserve">Created a Monthly Payroll option in the Pay cycle drop down menu. 
This is for one employee John Ahern lll. 
Moved him to this pay cycle effective 01/01/2024 once the pay cycle has been set up. </t>
  </si>
  <si>
    <t>Johnson Real Estate Investors LLC</t>
  </si>
  <si>
    <t>EBS</t>
  </si>
  <si>
    <t>Employees were questioning if the tobacco surcharge applies if they waive the medical plan, and HR confirmed it only applies if they enroll in the medical plan. Please make the Tobacco User plan dependent on the medical plan enrollment and move the Tobacco User plan to show after the medical plan in the workflow</t>
  </si>
  <si>
    <t>We have made the Tobacco User plan dependent on the medical plan enrollment and moved the Tobacco User plan to show after the medical plan in the workflow</t>
  </si>
  <si>
    <t xml:space="preserve">Rename the current Voluntary Life and AD&amp;D - HS LLC into Voluntary Life and AD&amp;D. And move the enrollments from Voluntary Life and AD&amp;D - Dublin plan into the Voluntary Life and AD&amp;D.  34 employees are enrolled in the Voluntary Life and AD&amp;D - Dublin plan. 
Please update the system for anyone who has a CLASS Change.  The effective date of the class change should be First of the month following or coinciding Class change effective date. 
Are we able to combine the Voluntary STD plan HS and Dublin into one plan like the Vol Life &amp; AD&amp;D.  This will take care of the issues as the plan should just continue but moved to a new class?  If yes, please set this up as well. </t>
  </si>
  <si>
    <t>For the STD, late entrants need to pend for EOI approval, even at OE. Please update the Voluntary STD plans to require EOI if employees enroll after their new hire eligibility.  
Also, Jennifer provided a list of employees whose STD enrollment needs to be updated to reflect pending for EOI, eff 1/1/2024. Please update their enrollments.</t>
  </si>
  <si>
    <t xml:space="preserve">Fiore was able to negotiate Voluntary Life rates for spouse age over the age of 70. Please update the Voluntary Life plan for the following spouse ages:
Spouse Voluntary Life Rates w/ AD&amp;D: 
70-74: 4.795 
75+: $15.462 </t>
  </si>
  <si>
    <t xml:space="preserve">Fiore was able to negotiate Voluntary Life rates for spouse age over the age of 70. Updated the Voluntary Life plan for the following spouse ages:
Spouse Voluntary Life Rates w/ AD&amp;D: 
70-74: 4.795 
75+: $15.462 </t>
  </si>
  <si>
    <t>Through our audit of the carrier invoice, we found the rates are off by a few cents. Please update the vision rates for 2024. TrueNorth provided the following - 
EE 7.86
EE+SP 15.75
EE+CH 13.33
EE+FAM 21.99</t>
  </si>
  <si>
    <t>Need to update the Vol Life AD&amp;D spouse premium calculation to be based on Spouse’s Age for Bethany Lutheran</t>
  </si>
  <si>
    <t>Updated the Vol Life AD&amp;D spouse premium calculation to be based on Spouse’s Age for Bethany Lutheran</t>
  </si>
  <si>
    <t xml:space="preserve">Need to update the rounding rule for Vol life plan to "Next Highest $10,000". </t>
  </si>
  <si>
    <t xml:space="preserve">Updated the rounding rule for Vol life plan to "Next Highest $10,000". </t>
  </si>
  <si>
    <t>Jiffy Air Tool Inc</t>
  </si>
  <si>
    <t>Elevated Benefits</t>
  </si>
  <si>
    <t>Due to the high enrollment into the Accident Plan plan for Jiffy Air Tool, the carrier is giving a price reduction for the Accident Plan Employee only coverage.
Monthly premium is changing from 16.68 and the new amount is $13.69.</t>
  </si>
  <si>
    <t>Change Accident Plan Employee only coverage Monthly premium is changing from 16.68 and the new amount is $13.69.</t>
  </si>
  <si>
    <t>What is the request and why? What problem is it trying to solve for?During implementation the CI plan was listed as an increment Plan.  It should have been set up as Coverage Tier.  The spouse should be 50% of the employee's election and the child should 25% of the employees cost.
There are 3 employees that we are waiting for confirmation back if they want to keep their spouse enrolled.</t>
  </si>
  <si>
    <t xml:space="preserve">The spouse setup should be 50% of the employee’s elected Coverage amount upto $15000
</t>
  </si>
  <si>
    <t>Gnanavelu</t>
  </si>
  <si>
    <t xml:space="preserve">Voluntary Life &amp; AD&amp;D have rider rates that should not be in the setup. 
Please remove the rider rates and use the rates below from Broker. </t>
  </si>
  <si>
    <t>For Voluntary Life plan - add the AD&amp;D rates and remove the Rider Cost</t>
  </si>
  <si>
    <t>What is the request and why? What problem is it trying to solve for?
This needs to be set up on the 5 HMO plans that are in BenJ
PCP for the HMO Plan needs to be set up with PCP Required.
We need to require the Dr. name and the PCP Number.
Please add the following instructions on the Popup page with the link to the Provider finder online.
Here is the link to the provider page: Home (providerfinderonline.com)
Instructions:
Enter your location in the upper right corner of the provider search page to narrow the list of results.
Already have a primary care provider. Search by their name for the quickest return.
If the provider is truly a recognized PCP, the PCP number will be listed under the provider’s name and provider category.
To prevent errors entering the name or PCP number, you can highlight, copy, and then paste into Benefits Junction.</t>
  </si>
  <si>
    <t>Setup PCP for HMO plans in Medical and make it required both PCP Name and PCP Code. Also add the above instructions in the General setup under PCP section.</t>
  </si>
  <si>
    <t>We need to update the rates highlighted in the attached document</t>
  </si>
  <si>
    <t>Update the rates to match the above table .</t>
  </si>
  <si>
    <t>The premiums for the medical plans need to be updated.  There is no change to the employee contribution the Employer will be paying the difference.  These rates should be effective 03/01/2024.</t>
  </si>
  <si>
    <t xml:space="preserve">First end the current period plan year with effective 2/29/2024 and then create new period plan year 3/1/2024 to 8/31/2099.
Then add the new premium. There is no changes in EE rates, so add the same rates for deductions. </t>
  </si>
  <si>
    <t xml:space="preserve">Setup all Bethany Lutheran plans new hire waiting period to First of the month following 63 days from Date of Hire. 
This rule applies to re-hire and class changes. </t>
  </si>
  <si>
    <t>Incorrect information was provided during implementation from the broker.
For all plans.
Employee terminates, changes to Part-time, QLE and employee, spouse or dependent losing coverage all plans should terminate on date of Termination.  Currently set to last day of the month following termination date and that is not correct</t>
  </si>
  <si>
    <t>All plan types.
1)	Status Termination rule “Date of Termination”
2)	Class Termination rule “Date of Termination”
3)	QLE and employee, spouse or dependent losing coverage all plans should terminate on date of Termination 
a.	Dependent loses Coverage
b.	Employee lost Coverage
c.	Divorce
d.	Death of Dependent
e.	Over-age Dependent</t>
  </si>
  <si>
    <t xml:space="preserve">The Medical Plans HDHP 3500 the single rate premiums needs to be changed from $868.56 to $868.66
Can you please update the rates tonight and confirm
</t>
  </si>
  <si>
    <t>The Medical Plans HDHP 3500 the single rate premiums needs to be changed from $868.56 to $868.66. After updating verify ER cost to see if its adjusted.</t>
  </si>
  <si>
    <t xml:space="preserve">For the voluntary Life, please update the spouse's age reduction schedule to match the employee’s age reduction schedule. </t>
  </si>
  <si>
    <t>Updated the below age reduction schedule for Spouse. Also identify if any spouse records are impacted.</t>
  </si>
  <si>
    <t xml:space="preserve">We just found that the Voluntary STD plans have been set up incorrectly. Both plans should allow employees to elect a benefit amount; the minimum amount would be $100 up to $1050 (in $50 increments), without exceeding 60% of the weekly salary, rounded down to the next $50 increment. Jenn confirmed the rates are correct.  </t>
  </si>
  <si>
    <t xml:space="preserve">When there is a class change from PTwBenefits to Full time or vice vera the deduction rates are not associated with the class change.  EDI needs this as the rates are different by class. </t>
  </si>
  <si>
    <t xml:space="preserve">In current Medical plans keep only Full Time in eligibility and rates.  
High Deductible Plan (HDHP) - $3,200 
CoPay Plan - $3,200 
Duplicate the Medical plans and keep only Part Time w/Benefits in eligibility and rates. 
High Deductible Plan (HDHP) - $3,200 – PT w/Benefits 
CoPay Plan - $3,200 - PT w/Benefits 
Before doing the setup change. Download the rates from BenJ. 
Class change Eligibility and Class change Termination rule remains same as now. 
Move enrollments from current plan to new plans for PT w/Benefits employees. There are 20 records in this class out of which only 8 are enrolled so we need to move only the 8 records. The effective date should be the same as their current enrollment effective date. 
After making all these changes, we need to remove PT w/Benefits class from current plans. 
 </t>
  </si>
  <si>
    <t>We have learned that the BRMS rate effective 01/01/2024 in incorrect. Please have your team update the rate to $942.07 effective 1/1/2024</t>
  </si>
  <si>
    <t xml:space="preserve">Update the BRMS carrier plans rate to $942.07 effective 1/1/2024 </t>
  </si>
  <si>
    <t xml:space="preserve">When there is an overage Dependent looks like there are different end dates for plans.
The accident plan is ending on the last day of the month following termination date.
Dependent Life &amp; Critical Illness need to terminate on the last day of the month following termination date of the dependent.
Can you please make sure all overage dependent rules terminate the dependent on the last day of the month in which they become overaged.
</t>
  </si>
  <si>
    <t xml:space="preserve">Dependent Life &amp; Critical Illness update the overage dependent rule to “On the first day of the month following the 26 th birthday”.
Do an Audit impacted and also correct the employee records mentioned by Janice on the conversation
</t>
  </si>
  <si>
    <t>Brookfield Enterprise</t>
  </si>
  <si>
    <t xml:space="preserve">For the following groups – Jiffy Air Tools, Brookfield &amp; Shaw Engineering
All Elevated client’s Part-Time employees are eligible for all benefits except for the Medical Plan.
Can you please set these 3 groups up
</t>
  </si>
  <si>
    <t>Make the updates as per above.</t>
  </si>
  <si>
    <t>Shaw Engineering</t>
  </si>
  <si>
    <t xml:space="preserve">For the Vision Plan, we need to set up 5 tier premiums and contributions.  Renuka found the error when reconciling the invoices that were just received.   We will need to move the employee + children into the correct coverage tier. 
Employee &amp; 1 child	$21.52					$21.52 </t>
  </si>
  <si>
    <t xml:space="preserve">For the Vision Plan, we set up 5 tier premiums and contributions. Below is the new tier that is added 
Employee &amp; 1 child	$21.52					$21.52 </t>
  </si>
  <si>
    <t>Upfield US Inc.</t>
  </si>
  <si>
    <t>360 CBA</t>
  </si>
  <si>
    <t xml:space="preserve">Lincoln provided a new invoice template, and I noticed the rates for the basic life were different. Please update the basic life rate.
Basic Life Non-Union : increased from $.175 to $.264 per $1,000 
Basic Life Union 25K : increased from $.094 to $.142 per $1,000 </t>
  </si>
  <si>
    <t xml:space="preserve">Updated the basic life rate.
Basic Life Non-Union : $.264 per $1,000 
Basic Life Union 25K : $.142 per $1,000 </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</si>
  <si>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error on the side of caution, I would round down:  Let us keep No Rounding </t>
  </si>
  <si>
    <t>UHC Basic Life Plan Age reduction rules -
Benefits will be reduced to 65% of original amount at age 65 and 50% of the original amount at age 70.
The reductions will be effective on the first day of the month following the EE DOB.</t>
  </si>
  <si>
    <t>Cha Ching dba. Great Clips</t>
  </si>
  <si>
    <t xml:space="preserve">The Broker has received the final premiums based on open Enrollment elections.
Please update both medical plans with and without P/Time employees.
Premiums for all 4 plans should be updated.
Freedom 5000 POS
EE only $626.97
EE + Sp $1,253.97
EE = Children $1,191.25
Family $2,006.32
EE + DP $$1,253.97
EE+DP+children $2,153.97
HMO 6000 Plan
EE only $577.20
EE + Sp $1,154.43
EE = Children $1,096.70
Family $1,847.07
EE + DP $1,154.43
EE+DP+children $1,847.07
</t>
  </si>
  <si>
    <t>Update the premiums as per above.</t>
  </si>
  <si>
    <t xml:space="preserve">Please update CLDD end dates to the Last Day of the month following change date. 
For the following Plans: 
All Medical Plans, Dental Plan, Vision Plan and FSA Full Purpose FSA. </t>
  </si>
  <si>
    <t xml:space="preserve">Updated CLDD end dates to the Last Day of the month following change date. 
For the following Plans: 
All Medical Plans, Dental Plan, Vision Plan and FSA Full Purpose FSA. </t>
  </si>
  <si>
    <t xml:space="preserve">The broker noticed the number of enrolled in the Basic Life and EAP were not matching. I found two employees not enrolled in the EAP because they never logged in. It looks like we never set up an auto-enrollment for the EAP. Please update to match the auto-enrollment of the other plans. </t>
  </si>
  <si>
    <t>Set up an auto-enrollment for the EAP.</t>
  </si>
  <si>
    <t>Enertia provides an employer contribution towards the HSA. As a result, they no longer want to allow employees in the HDHP to enroll in FSA Healthcare. Please update BenJ to prevent enrollment in the HDHP and FSA HC.  
Also, there are three employees who should remain in the FSA HC and HDHP due to tax documents having been already produced. The following employees need to stay enrolled in the HDHP and FSA HC: EE# 12, 184, 192</t>
  </si>
  <si>
    <t>Enable employer contribution setup in HSA plan</t>
  </si>
  <si>
    <t xml:space="preserve">Change rates from Fully Insured to Self-Funded for Medical. 
</t>
  </si>
  <si>
    <t>Change rates from Fully Insured to Self-Funded for Medical. 
Refer ticket helpscout #366857 for the Self-Funded rates</t>
  </si>
  <si>
    <t>Barnum and Celillo Electric Inc</t>
  </si>
  <si>
    <t>add class-based deduction rates for the Medical and Dental plans. Hence when employee moves from one class to another there will not be any termination of benefits. There will be only change in rate.</t>
  </si>
  <si>
    <t>Setup changes steps are listed below:
1)	Move Management Class to Plan 1
2)	Add class based waiting period rules in Plan 1
3)	Add deduction rates for latest period plan based on class
4)	Move enrollments from Plan 2 to Plan 1
5)	End Plan 2 with 3/31/2024 and terminate effective 4/1/2024
6)	Remove Plan 2 from OE profile</t>
  </si>
  <si>
    <t>Their Basic Life benefit is 1 x annual salary to a max of $50,000 not a flat $50,000 benefit for Bethany Lutheran</t>
  </si>
  <si>
    <t>Update the basic life plan setup and identify the impacted employees. System should update the impacted if not we need to do a datafix.
Minimum of $ 10000, and 1 x annual salary to a max of $50,000</t>
  </si>
  <si>
    <t xml:space="preserve">We received the demographic file dated 03/25/2024 with the new department "65". Please add the new department. </t>
  </si>
  <si>
    <t>Added  the new department "65” and the eligibility is same as other departments.</t>
  </si>
  <si>
    <t>Voluntary Accident coverage cannot be enrolled by a Qualifying Life Event. Please remove.</t>
  </si>
  <si>
    <t>Remove Voluntary Accident plan from Status changes setup.</t>
  </si>
  <si>
    <t>Update rehire rule - use 1st of the month following rehire date as the rule for all plans for Field class.</t>
  </si>
  <si>
    <t>Updated rehire rule - use 1st of the month following rehire date as the rule for all plans for Field class.</t>
  </si>
  <si>
    <t xml:space="preserve">We received the demographic file dated 03/25/2024 with the new department "72". Please update the new department on our system. </t>
  </si>
  <si>
    <t>Add the new department and the eligibility is same as all departments.</t>
  </si>
  <si>
    <t xml:space="preserve">Due to service issues, Unum has agreed to reduce the Employer Paid Plan LTD rate from $.16 to $.15 per $100 CMP as of May 1, 2024. Please update the rate effective 5/1/2024. </t>
  </si>
  <si>
    <t xml:space="preserve">Update Employer Paid Plan LTD rate to $0.15 per $100 effective 5/1/2024. </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</si>
  <si>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can add the following to map to the respective class ID. 
Exempt Manager 
Non-Exempt Manager 
Exempt Non-Manager. 
Non-Exempt Non-Manager </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</si>
  <si>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added the following to map to the respective class ID. 
Exempt Manager 
Non-Exempt Manager 
Exempt Non-Manager
Non-Exempt Non-Manager </t>
  </si>
  <si>
    <t>Hydrafacial LLC</t>
  </si>
  <si>
    <t>Arthur J Gallagher EBS</t>
  </si>
  <si>
    <t xml:space="preserve">EE ID - 11294 (Marisol, Lopez) – Gender is Undisclosed
EE ID - 11715 (James, Runyon) – Gender is Non-Binary
</t>
  </si>
  <si>
    <t>Enable Gender – Nonbinary in General setup and update for the above employees and inform Data Integrations Team.</t>
  </si>
  <si>
    <t xml:space="preserve">We need to change the VSTD set up to 60% of Gross monthly salary from 67% of gross monthly salary. 
The set up should be Increments of 100 with a minimum of $400 and a maximum of 2500 not to exceed 60% of monthly salary. </t>
  </si>
  <si>
    <t>We changed the VSTD set up to 60% of Gross monthly salary from 67% of gross monthly salary. 
The setup is Increments of 100 with a minimum of $400 and a maximum of 2500 not to exceed 60% of monthly salary.</t>
  </si>
  <si>
    <t xml:space="preserve">Should be 60% of Monthly Salary to a maximum of $ 10,000.  The Maximum benefit is $6000.00 per month. </t>
  </si>
  <si>
    <t xml:space="preserve">LTD must be 60% of Monthly Salary to a maximum of $ 10,000. </t>
  </si>
  <si>
    <t xml:space="preserve">What is the request and why? What problem is it trying to solve for?
•	Duplicate the 3 medical plans – with the same premium and deductions. The only different is the group number. And need to add another group – “NorCal” and “SoCal”
•	Getting the details of which employees are in which group, but it’s based on zip codes.
NorCal Plans 
•	604102-000 Gold
•	604102 -001 Silver
•	604102-002 Bronze
SoCal Plans
•	234569-000 Gold
•	234569-001Silver
•	234569-002 Bronze
</t>
  </si>
  <si>
    <t xml:space="preserve">1)	Add locations named as below:
NorCal – Rename existing “All Employees” to NorCal
SoCal
2)	Update the existing plan names to below: All other employees are in the NorCal subgroup (Group #604102).
NorCal Plans
•	604102-000 Gold
•	604102 -001 Silver
•	604102-002 Bronze
3)	Duplicate new plan to below:
SoCal Plans
•	234569-000 Gold
•	234569-001Silver
•	234569-002 Bronze
Move the below employees to new location and new plans.
The following employees are in the SoCal Group (Group # 234569)
First Name	Middle Initial	Last Name	Account Role	Date of Birth	Gender	Kaiser Plan
Hector	 	Maldonado	Subscriber	6/26/1976	Male	Kaiser HMO Gold Plan
Miguel	A	Sebastian	Subscriber	7/9/2000	Male	Kaiser HMO Gold Plan
Kevin	 	Aguirre	Subscriber	12/11/2003	Female	Kaiser HMO Gold Plan
Joel	 	Leon	Subscriber	8/16/1986	Male	Kaiser HMO Gold Plan
Oliver	 	Vasquez	Subscriber	7/4/1996	Male	Kaiser HMO Gold Plan
Mario	J	Ortez	Subscriber	8/8/1985	Male	Kaiser HMO Gold Plan
Nicollette	 	Redfearn	Domestic Partner	3/4/1994	Female	Kaiser HMO Gold Plan
Addyson	M	Ortez	Family Member	10/15/2014	Female	Kaiser HMO Gold Plan
Fernando	 	Segura-donato	Subscriber	7/7/2003	Male	Kaiser HMO Bronze Plan
Alex	 	Saavedra	Subscriber	7/5/2003	Male	Kaiser HMO Bronze Plan
Gerado	 	Reyes Martinez Jr	Subscriber	3/20/2000	Male	Kaiser HMO Silver Plan
</t>
  </si>
  <si>
    <t xml:space="preserve">HR was expecting ER rates to come through the payroll file for the ER-Paid Hospital Indemnity plan for two employees, but it wasn’t reported because these employees had declined the plan.  
Employees enrolled in the HDHP are offered the ER-Paid Hospital Indemnity plan, and they should not be allowed to decline it. Please remove the decline option from the ER-Paid Hospital Indemnity plan. Also, the coverage level of the HDHP enrollment should match the coverage level enrollment for the ER-Paid Hospital Indemnity plan. 
 </t>
  </si>
  <si>
    <t>Added a new plan type “Hospital Indemnity ER Paid” and moved the Hospital Indemnity Employer Paid plan into the new plan type and removed the decline option from it. After that ended the existing Hospital Indemnity Employer Paid plan. 
Since, we do not have plan bundling functionality in system, we cannot match the coverage level of the HDHP enrollment to the ER-Paid Hospital Indemnity plan. Hence, added a task on Teamwork to handle process check on a weekly basis.</t>
  </si>
  <si>
    <t>Update rehire rule for Class Field to "Within 90 Days of termination date, First of the Month Following 0 Day(s) from Date of Rehire Others, First of the Month Following 60 Day(s) from Date of Rehire."</t>
  </si>
  <si>
    <t xml:space="preserve">Update rehire rule for Class Field to "Within 90 Days of termination date, First of the Month Following 0 Day(s) from Date of Rehire Others, First of the Month Following 60 Day(s) from Date of Rehire."
For management class rehire rules remains same as "Within 0 Days of termination date, First of the Month Following 0 Day(s) from Date of Rehire Others, First of the Month Following 0 Day(s) from Date of Rehire".
</t>
  </si>
  <si>
    <t xml:space="preserve">A new location was reported in the demographic file feed. Please add the following location: 
NVLRC - Las Vegas Rancho Dr
</t>
  </si>
  <si>
    <t xml:space="preserve">Please add the following location: Eligibility is same as all locations
NVLRC - Las Vegas Rancho Dr
</t>
  </si>
  <si>
    <t xml:space="preserve">Proposed solution to be presented to Requestor with justification of associated costs.
During a meeting with Truenorth and ABCM, the client clarified that Voluntary Life premium age bands are updated on the birthday, not the month following the birthday.
Please update the plan rules for the voluntary life to have age bands updated on the birthday.
Jenn pulled a report of all enrolled employees to identify anyone who is not in the correct rate per unit - and upcoming changes based on the updated rule.
“It's sorted by the date the change should occur; there are a few April birthdays. If the rule change is effective 04/01/2024 those employees will be adjusted, correct?
Then we should be clean going forward.”
</t>
  </si>
  <si>
    <t xml:space="preserve">1)Please update the plan rules for the Voluntary Life premium age bands to “Birthday”
2) The rule change is effective 04/01/2024, the below employees need to be updated with reason “Age Band Change” with below effective date.
Employee Id	Employee Name	Date to Change
2052479	Gbeynie, Richard	4/5/2024
102684	Spencer, Michelle	4/11/2024
120240	Khorll, Lou	4/12/2024
1061035	Brown, Nicholas	4/19/2024
</t>
  </si>
  <si>
    <t>To Do List Setup</t>
  </si>
  <si>
    <t xml:space="preserve">Reminders emails should go out weekly </t>
  </si>
  <si>
    <t xml:space="preserve">Reminders emails should go out weekly. </t>
  </si>
  <si>
    <t xml:space="preserve">Need to set up a Limited FSA plan for this client.  </t>
  </si>
  <si>
    <t xml:space="preserve">We have added setup of Limited FSA plan for this client. </t>
  </si>
  <si>
    <t>When an employees has a class change from  FT or PT w/Benefits and changes to PRN or Temp/PT they should be offered COBRA.</t>
  </si>
  <si>
    <t xml:space="preserve">Added 2 classes PRN COBRA and Temp/Part Time COBRA. First employee will be moved to either PRN or Temp/Part Time. After sending information to COBRA. Employee will be moved to new classes PRN COBRA or Temp/Part Time. 
Removed the Division Part Time COBRA and moved the respective employees accordingly. </t>
  </si>
  <si>
    <t xml:space="preserve">New Hire Waiting Period for Benefits to be Effective.
Anyone hired on or after 06/01/2024 their benefits should be effective their date of hire.
We are currently running the invoice reports for the client.  The broker is in the process of gathering the billing details.
•	So far – VSP has confirmed - Hire date on or before 15th of the month - billing starts the month of hire
Hire date after 15th of the month - billing starts the month following the month of hire.
•	Aetna – TBD
•	United Concordia - TBD
•	MOO - TBD
</t>
  </si>
  <si>
    <t xml:space="preserve">We have updated 1)	Add a new period plan year effective 6/1/2024 for Waiting Period rule change for all plan types and plans.
2)	Anyone hired on or after 06/01/2024 their benefits should be effective their Date of Hire. The same applies to Rehire rule as well.
3)	For VSP carrier update billing rule for Additions to “Full month premium if hired before 16th of month”. Do not change for Terminations.
</t>
  </si>
  <si>
    <t>Janice</t>
  </si>
  <si>
    <t>The call center helped enroll an employee using the Employee gained other Coverage and sent the benefits enrollment statement to HR as confirmation. HR let us know that this specific status change should not have allowed the employee to elect new coverage. Per HR:  
“This Qualifying Life event only allows them to drop any existing coverage they currently have. It should not allow them to elect coverages that were previously offered but declined.” 
Please update this status change to only allow employees to decline coverage.</t>
  </si>
  <si>
    <t xml:space="preserve">Employee gained other Coverage – Unchecked the below option in all the Status Changes setup. 
New Enrollment 
Change Plans 
Change Coverage </t>
  </si>
  <si>
    <t>Need to correct the EE + Child(ren) rate on BenJ for "Wellmark 4000 HMO - WNH" Plan
It is currently, $1,104.04 and it should get updated to $1,104.07.</t>
  </si>
  <si>
    <t>Correct the EE + Spouse rate on BenJ for "Wellmark 4000 HMO - WNH" Plan
It is currently $1,104.04 and it should get updated to $1,104.07.</t>
  </si>
  <si>
    <t>Dilip Kumar M L</t>
  </si>
  <si>
    <t xml:space="preserve">Employees are electing that they want the FSA then entering 0.
Please enter a minimum of $1.00 for both FSA Health &amp; Dependent Care
Also we were just informed by WEX that the FSA Health Care Maximum is prorated for a short plan year.  Can you please enter a maximum contribution by the employee to 1866.67.
I have already updated the two employees in Benj to this maximum
Minxian Zhang and ChuHsiung Ho.
</t>
  </si>
  <si>
    <t xml:space="preserve">1)	Please enter a minimum of $1.00 for both FSA Health &amp; Dependent Care
2)	FSA Health Care Maximum is prorated for a short plan year.  Can you please enter a maximum contribution by the employee to 1866.67. Update this to Same Period plan year.
</t>
  </si>
  <si>
    <t>Create Touchpoint class codes for R360 and POR employees. We’ll also need to update communication. Please make sure the documents and benefits are specific to the classes</t>
  </si>
  <si>
    <t>HR noticed the wrong employee deduction for the Grant Part-time class. I checked the rates provided for OE, and rates were not provided. Please update the medical plan rates for the Grant Part-Time class to the Grant .5 rate</t>
  </si>
  <si>
    <t>HR noticed the wrong employee deduction for the Grant Part-time class. I checked the rates provided for OE, and rates were not provided. Please update the medical plan rates for the Grant Part-Time class to the Grant .5 rate effetive 07/01/2024</t>
  </si>
  <si>
    <t xml:space="preserve">Through file testing we’ve discovered the Employer Paid STD and LTD should not have the “coinciding” rule. The new hire waiting period should match the basic life: 
First of the Month Following 60 Day(s) from Date of Hire
Please correct the Employer Paid STD and LTD. I’m confirming if the executive LTD should match this as well.
Please correct ID 1668 Employer Paid STD and LTD to be effective from 3/1/2024 instead of 2/1/2024
</t>
  </si>
  <si>
    <t xml:space="preserve">Update the new hire waiting period rule for the below plans to First of the Month Following 60 Day(s) from Date of Hire. Remove coinciding.
LTD Employer Paid
STD Employer Paid
Executive LTD Employer Paid
Please correct ID 1668 Employer Paid STD and LTD to be effective from 3/1/2024 instead of 2/1/2024
</t>
  </si>
  <si>
    <t xml:space="preserve">Message Setup </t>
  </si>
  <si>
    <t xml:space="preserve">HR wants the following wording added to the current Acknowledgement. Can we require employees to go through this acknowledgment again on their next login?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
</t>
  </si>
  <si>
    <t xml:space="preserve">HR wants the following wording added to the current Acknowledgement. Require employees to go through this acknowledgment again on their next login. So, we need to end the existing one and create new one so that they all get new.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
</t>
  </si>
  <si>
    <t xml:space="preserve">Company is acquiring 60 new employees on or around 06/24.
Benefits are effective FOM following Hire Date – 07/01/2024 is their goal to have effective
Benefits and contributions are the same as the other locations.  
We just need to add a new location for client internal tracking
Please add Location – 147283 Acquired IL
EDI Team has been notified on the ticket that they need to map this new location to the current 147283 IL location.
</t>
  </si>
  <si>
    <t xml:space="preserve">Please add Location – 147283 - Acquired IL and the eligibility is same as current “147283 - IL”.
Refer to Grid: https://appriver3651007094.sharepoint.com/:x:/g/EZeR9B50DkJFtEbQ2Pxr1RkBK9dq8DEq_VzYIni6U43JOw?e=OFdAx8 
</t>
  </si>
  <si>
    <t>New Department - 64 add to the client
eligibility same as other departments</t>
  </si>
  <si>
    <t>New department 64 added to the client</t>
  </si>
  <si>
    <t>A new department has been received in the demographic file. Please add the new department. 
New Department - CAJP6 - Jurupa Valley: Pyrite St/CA-60</t>
  </si>
  <si>
    <t>Added the new department as per above and make the eligibility same as per all departments.</t>
  </si>
  <si>
    <t>Currently, the plan is set up so that employees do not have edit access in any of the workflows or the summary screen. However, the plan does appear in the summary screen without edit access.
When admin users click on the edit link in the admin screen, the plan appears for enrollment.
Currently, there are 7 employees enrolled in it. In order for us to show this plan to only these employees, we should:
- Create a new class "Bethany Lutheran LTD" and update the class for these 7 employees to that.
- The rest of the Bethany employees will remain in the Fulltime class.
- Update the eligibility for the LTD plan to be eligible for only the "Bethany Lutheran LTD" class.</t>
  </si>
  <si>
    <t>Create a new class "Bethany Lutheran LTD" and update the class for these 7 employees to that. 
The rest of the Bethany employees will remain in the Fulltime class. 
Update the eligibility for the LTD plan to be eligible for only the "Bethany Lutheran LTD" class</t>
  </si>
  <si>
    <t>Medical Silver Plan premium for EE + SP should be $1,487.62</t>
  </si>
  <si>
    <t>Medical Silver Plan premium for EE + SP should be $1,487.62. This is for invoice setup.</t>
  </si>
  <si>
    <t>Vol life and AD&amp;D child rate - update to $0.16 per $1,000</t>
  </si>
  <si>
    <t>Update Vol Life child rates for Location Bethany Luthern plan only. After rate update audit after scheduler runs.</t>
  </si>
  <si>
    <t>Updated medical status change waiting period rule to 31 days like the other plans</t>
  </si>
  <si>
    <t>Updated medical status change waiting period rule to 31 days like the other plans.</t>
  </si>
  <si>
    <t xml:space="preserve">Remove the twice per month option from drop down and update all employees to weekly. Effective 4/1/2024. </t>
  </si>
  <si>
    <t xml:space="preserve">1. EE VTL/VAD&amp;D minimum benefit amount changed from $20k to $10k 
2. DP (child) VTL/VAD&amp;D minimum benefit amount changed from $10k to $5k 
3. DP (child) VTL/VAD&amp;D increments changed from $10k to $5k 
4. Change class with Effective 6/1/2024 and move all enrollments. Before that change the class change rule to Date of change and then move enrollments. Put back class rule after uploads of enrollments. 
5. Robert Jacobs - EE VTL/VAD&amp;D changed from $93,800 to $94,000 (rounding up to the nearest $1k) - Update original volume as per BenJ.  
6. Chester Randall - EE VTL/VAD&amp;D enrolled from $26,800 to $27,000 (rounding up to the nearest $1k) - Update original volume as per BenJ. 
7. Update rounding rule for age reduction for EE to Nearest $1000 
 </t>
  </si>
  <si>
    <t>GI rules for EE
65 years or under are $200,000  
65-69 years to $50,000 and  
70+ years to $10,000 
Any new hires with age 70, we need to monitor manually and update them to 10k.</t>
  </si>
  <si>
    <t xml:space="preserve">Update Status Termination and Work Country termination rule to “Last day of month following date of termination” for all the Medical plans with UHC. </t>
  </si>
  <si>
    <t xml:space="preserve">Long-Term Disability - 
The setup should be $0.231 per $100 of 100% of Monthly Salary. </t>
  </si>
  <si>
    <t xml:space="preserve">Long-Term Disability - 
The setup is changed to $0.231 per $100 of 100% of Monthly Salary. </t>
  </si>
  <si>
    <t xml:space="preserve">Please create this new location, and move Christina (10258) to this new location eff 7/1/2024, and enroll her in the medical plan with ee-only coverage and remove her from John’s (10334) medical plan with 7/1/2024. 
</t>
  </si>
  <si>
    <t xml:space="preserve">Added new location - Retiree OE Dist-Pay Couple, and moved Christina (10258) to this new location eff 7/1/2024, and enrolled her in the medical plan with ee-only coverage and removed her from John’s (10334) medical plan with 7/1/2024. 
</t>
  </si>
  <si>
    <t xml:space="preserve">Update Status Termination and Work Country termination rule to “date of termination ” for all the Medical plans with UHC. </t>
  </si>
  <si>
    <t xml:space="preserve">Updated Status Termination and Work Country termination rule to “date of termination ” for all the Medical plans with UHC. </t>
  </si>
  <si>
    <t xml:space="preserve">Update admin fees: 
</t>
  </si>
  <si>
    <t>Updated the rates for UMR medical plan with effective 7/1/2024. See how we updated last year and update the same this year.</t>
  </si>
  <si>
    <t>If we have the medical FSA removed, what happens to those funds?
The funds are only pulled from Ahern when there is a claim processed.
We are able to delete/remove the MFSA due to the error.
My understanding is that the $10/week that was originally set-up for the LFSA was instead “moved” to the FSA when the April enrollment error occurred.
Nothing was moved from the LFSA to MFSA they were completely separate elections in the system. Nothing has changed for the LFSA and no adjustments are needed in our system.</t>
  </si>
  <si>
    <t>We have enabled the "Employer Contribution" setup for the HSA plan and made the enrollment corrections for the EE# Hanson, Allen (EE# 32980). Employee is in Limited FSA with $10 Per Paycheck.
https://secure.helpscout.net/conversation/2655928345/385371#thread-7999771946</t>
  </si>
  <si>
    <t>Create a custom field in work info named “Vol Life EE Original Volume” and Vol Life SP Original Volume, it should be captured in reports. (see the setup in staging) 
Also, we need to audit for age reduced employees and then flag their original volume in this custom field.  
Create a process and add a task to do an audit on a yearly basis to identify newly age reduced employees and then update the original volume in the custom field. This can be done during OE.</t>
  </si>
  <si>
    <t xml:space="preserve">Created 2 custom field in work info named “Vol Life EE Original Volume” and Vol Life SP Original Volume, it should be captured in reports.
Also, we audited for age reduced employees and then updated their original volume in this custom field.  
</t>
  </si>
  <si>
    <t>JREI wants to start using the "Leave of Absence without Benefits" class to track employees on leave without terminating them. Please update the class eligibility, remove FSA eligibility, and configure the system to trigger COBRA for benefits termination when this class is applied.</t>
  </si>
  <si>
    <t>JREI wants to start using the "Leave of Absence without Benefits" class to track employees on leave without terminating them. 
Please remove FSA eligibility for this class. This Class should not be eligible for any benefits.</t>
  </si>
  <si>
    <t xml:space="preserve">WCI's employee Lydia Dudley (Employee ID: 2431) encountered an error indicating that her spouse's Voluntary Term Life/Voluntary AD&amp;D coverage could not be enrolled due to the spouse being 77 years old. 
The broker confirmed with Mutual of Omaha (MOO) that per policy, Spouse Voluntary Life/AD&amp;D coverage terminates when the employee reaches the age of 70, with termination effective 01/01/2025. 
Please update the Spouse Voluntary Life/AD&amp;D coverage to terminate at the end of the year when the employee turns 70 (1/1/2025),  </t>
  </si>
  <si>
    <t>Updated the Spouse Voluntary Life/AD&amp;D rules for both the Vol Life plans coverage to terminate at the end of the year when the employee turns 70 (1/1/2025)</t>
  </si>
  <si>
    <t xml:space="preserve">	Arthur J Gallagher EBS</t>
  </si>
  <si>
    <t xml:space="preserve">Update rates for HMSA plan, this plan has a different renewal date than the others.  </t>
  </si>
  <si>
    <t>Updated rates for HMSA plan, these new rates are starting from 7/1/2024</t>
  </si>
  <si>
    <t xml:space="preserve">We need to change the Division change rule to "Date of Division" for additions. 
</t>
  </si>
  <si>
    <t xml:space="preserve">We changed the Division change rule to "Date of Division" for additions for all plans
</t>
  </si>
  <si>
    <t xml:space="preserve">We need to create a Part-Time class. There is an employee that is part-time and not yet eligible for benefits. </t>
  </si>
  <si>
    <r>
      <t>1)</t>
    </r>
    <r>
      <rPr>
        <sz val="7"/>
        <color rgb="FF0D0D0D"/>
        <rFont val="Calibri"/>
        <family val="2"/>
        <scheme val="minor"/>
      </rPr>
      <t> </t>
    </r>
    <r>
      <rPr>
        <sz val="11"/>
        <color rgb="FF0D0D0D"/>
        <rFont val="Calibri"/>
        <family val="2"/>
        <scheme val="minor"/>
      </rPr>
      <t>Create a Part-Time class and it should not be eligible for any benefits
2) Class change eligibility remains “First of the Month Following 0 Day(s) from Date of Class”
3) Class change termination rule remains “Last day of month following date of termination”.</t>
    </r>
  </si>
  <si>
    <t>Transaction Approval Setup</t>
  </si>
  <si>
    <t>Please disable transaction approval for demographic changes. Delays in approvals during open enrollment led to delays: one employee was not reported to carriers due to missing address and gender, and another was reported with an outdated address. Disabling approval will prevent such issues in the future.</t>
  </si>
  <si>
    <t xml:space="preserve">We have disabled the Transaction Approval setup of Demographic changes for existing employees. </t>
  </si>
  <si>
    <t xml:space="preserve">HR is proposing a new process for employees who change positions or increase their Full-Time Equivalent (FTE) status, enabling them to submit a status change. Currently, there isn't an effective option for allowing employees in these situations to enroll or make changes to their benefits.
They have several employees transitioning from positions such as paraeducator to teacher or building substitute to teacher or grant-funded roles. These employees will experience a significant increase in pay and a change from hourly to salaried positions, but since the eligibility remains the same, they are not allowed to enroll through an enrollment workflow. 
To address this limitation, we need to enable the "Special Event" status for medical and dental. Transaction approval is required, and new enrollment, change plans, change coverage, and waiving should be allowed. The effective date would be the date of QE. 
When an employee’s class changes and are allowed to enroll in the plans, HR will send them an email to use the special event status which they will review and approve in the system.
</t>
  </si>
  <si>
    <t xml:space="preserve">Enabled the "Special Event" status for medical and dental. Transaction approval is required, and new enrollment, change plans, change coverage, and waiving should be allowed. The effective date would be the date of QE.
</t>
  </si>
  <si>
    <t>City of Clive</t>
  </si>
  <si>
    <t>During the implementation of the client, the "Dependent Loses Coverage for Initial Enrollment" checkbox was not checked in the implementation document. As a result, it was not added for the status change. Please update the Dependent Loses Coverage status</t>
  </si>
  <si>
    <t>Enable “Initial Enrollment” check box for FSA Health Care and Dependent Care.</t>
  </si>
  <si>
    <t xml:space="preserve">Sunlife states they have the age reduction set up in their system for Critical Illness. Please remove the age reduction setup for the Critical Illness plan from BenJ. We can report the original volumes. </t>
  </si>
  <si>
    <t xml:space="preserve">Removed Employee and Spouse age reduction setup for CI plan as carrier is taking care of it at their end. We need to send original volumes. 
Update the original volumes for impacted employees. </t>
  </si>
  <si>
    <t xml:space="preserve">Through file testing, we've found an error in the age reduction schedule. Please correct the Voluntary Life age reduction schedule to reflect a 50% reduction at age 70 for both the employee and spouse. 
8/14/2024 Edit – Per broker, the spouse’s age reduction is based on the spouse’s age.    </t>
  </si>
  <si>
    <t>Voluntary Life age reduction schedule to reflect a 50% reduction at age 70 for both the Employee and Spouse. 
Spouse’s age reduction is based on the Spouse’s age.    
Updated Age Reduction Effective: Month following Birthday for both Employee and Spouse 
Corrected the existing employee/spouse above age 70 to 50% of original volume.</t>
  </si>
  <si>
    <t xml:space="preserve">Please create a new Division, "Comp Leave" and make it eligible for only Medical, Dental, and Vision plans.  
Please move the employee, EE# Collins, Lavell  to the new division effective 7/1/2024. </t>
  </si>
  <si>
    <t xml:space="preserve">Created a new Division, "Comp Leave" and made it eligible for only Medical, Dental, and Vision plans.  
Moved the employee, EE# Collins, Lavell  to the new division effective 7/1/2024. </t>
  </si>
  <si>
    <t xml:space="preserve">Need to update rounding rules:  
Company Paid Life and AD&amp;D - Update the Rounding Rule to "Next Highest $1,000" 
Short Term Disability - Update the Rounding rule to "No Rounding" 
Long Term Disability - Update the Rounding rule to "No Rounding" 
 </t>
  </si>
  <si>
    <t xml:space="preserve">Updated rounding rules:  
Company Paid Life and AD&amp;D - Update the Rounding Rule to "Next Highest $1,000" 
Short Term Disability - Update the Rounding rule to "No Rounding" 
Long Term Disability - Update the Rounding rule to "No Rounding" </t>
  </si>
  <si>
    <t>Rate Corrections</t>
  </si>
  <si>
    <t>Please update the stop loss admin rate to $55.83</t>
  </si>
  <si>
    <t>Please update the stop loss admin rate to $55.83 for UMR Medical plan effective 9/1/2024.</t>
  </si>
  <si>
    <t>Requested from EDI Team to add New department "76".</t>
  </si>
  <si>
    <t>Updated New department "76" as per the request.</t>
  </si>
  <si>
    <t>Update Dental premiums – all tiers are $7.56</t>
  </si>
  <si>
    <t xml:space="preserve">Update Dental premiums – all tiers are $7.56 effective 4/1/2024.
Change the setup from Fully Insured to Self-Funded.
Update the above amount under Admin Fee and Update the Total cost in FIE.
</t>
  </si>
  <si>
    <t>Change duration of status changes to 30 days.</t>
  </si>
  <si>
    <t>Change Status Change Duration from 180 Days to 30 days for Medical, Dental, Vision, FSA HealthCare and FSA Dependent Care plans</t>
  </si>
  <si>
    <t>Requested from EDI Team to add New department "81".</t>
  </si>
  <si>
    <t>Updated New department "81" as per the request.</t>
  </si>
  <si>
    <t xml:space="preserve">HR has informed us that employees are not correctly assigned to the appropriate billing units with the medical carrier. Currently, the custom field “Cost Center” is used to identify billing units. However, the data team has confirmed that we lack the functionality to update the “Cost Center” in our 834 EDI files. Instead, we were supposed to use the “Location” field, and the custom field was supposed to be removed. 
TrueNorth has now provided a revised account structure, and we need to add the new locations into our system. The data team has verified the account structure and highlighted the locations that need to be added. I will attach the list of new locations in the ticket for reference.
Once the new locations are added, we need to ensure that all employees’ “Location” fields match the values currently stored in the “Cost Center” custom field. After this is completed, please proceed with removing the custom field.
</t>
  </si>
  <si>
    <t xml:space="preserve">Add new locations as per the attached provided by Muniraju. And the eligibility is same as all others plans.
After this is completed, please proceed with removing the custom field.
</t>
  </si>
  <si>
    <t>Update the invoice rates for Base and Buy Up HDHP plan that is Total of EE and ER.</t>
  </si>
  <si>
    <t>Updated the invoice rates for Base and Buy Up HDHP plan that is Total of EE and ER.</t>
  </si>
  <si>
    <t>Change waiting period rules to 1st of the month following date of hire with DOH coinciding if the person is hired on at the 1st of the month and the same rule applies for new hires. Termination rules stay the same. This rule applies to all plans. This rule needs to be updated for the file feeds to go over correctly.</t>
  </si>
  <si>
    <t xml:space="preserve">Setup update:
1)	First of the Month Following or Coinciding with 0 Day(s) from Date of Hire. This is for all plan types. This is for New Hire and Rehire only.
2)	This rule change go into effect as of 10.1. So, no need to change past enrollments.
3)	Termination rules stay the same, no changes.
</t>
  </si>
  <si>
    <t>Through file testing, a discrepancy came up for the STD. The STD Termination Rules should match the Basic Life and LTD. Please update the Class, Location, Division, and Department waiting period to date of termination.</t>
  </si>
  <si>
    <t>STD plan update CLDD termination rule from Last day of month following date of termination to Date of Termination.</t>
  </si>
  <si>
    <t xml:space="preserve">Removed the following departments  from FSA Healthcare and Dependnet access-
Part-Time Medical GF 
Part-Time 
Part-Time GF </t>
  </si>
  <si>
    <t>Please update the Welcome Email subject line to the following: 
Johnson Real Estate Investors - Important Benefit Information!</t>
  </si>
  <si>
    <t>Changed the subject line to read Johnson Real Estate Investors - Important Benefit Information!</t>
  </si>
  <si>
    <t>Update the HSA Midyear change rule to “First of the Month Following 0 Day(s) from Date of Election”. 
Also correct the employee “Brandon Wesolowski " HSA plan effective date to 10/1/2024 from 09/23/2024.</t>
  </si>
  <si>
    <t xml:space="preserve">Updated the HSA Midyear change rule to “First of the Month Following 0 Day(s) from Date of Election”. </t>
  </si>
  <si>
    <t xml:space="preserve">The current Division rule in ABCM is causing issues in the EDI files, leading to coverage gaps. For example, when an employee terminates on 8/31/2024 and transitions to COBRA effective 9/1/2024, the system is incorrectly setting the enrollment effective date to 10/1/2024, creating a gap from 9/1/2024 to 9/30/2024. 
To resolve this, please update the Division rule to the first of the month following or coinciding with 0 days from the date of Division for medical, dental, and vision. 
</t>
  </si>
  <si>
    <t>Please read the comments above mentioned by Juan and update the Division rule to the first of the month following or coinciding with 0 days from the date of Division for medical, dental, and vision</t>
  </si>
  <si>
    <t xml:space="preserve">Make the enrollment duration the same as the waiting period. 
So change eligibility enrollment duration to FOMF DOH for management class.
I don’t think we need to change for Field class. 
</t>
  </si>
  <si>
    <t xml:space="preserve">Refer to the notes above and make the enrollment duration the same as the waiting period. 
So change eligibility enrollment duration to FOMF DOH for management class.
No changes for the Field class. 
</t>
  </si>
  <si>
    <t>Rate corrections</t>
  </si>
  <si>
    <t xml:space="preserve">Update Allied Invoice rates to rates on sep/oct 2024 in table below effective 9/1/24: </t>
  </si>
  <si>
    <t xml:space="preserve">Update the rates as per above for the Medical MEC Green and MEC Blue plans. </t>
  </si>
  <si>
    <t xml:space="preserve">Change Voluntary Life &amp; AD&amp;D new hire age calculation to plan year/renewal date - "Age as on 01/01/2024"
</t>
  </si>
  <si>
    <t xml:space="preserve">he Age calculation for the New Hire is not by Plan Effective date, it should be age as on the Plan year which is 01/01/2024 for 2024. 
Change the Voluntary Life &amp; AD&amp;D new hire age calculation to plan year/renewal date - "Age as on 01/01/2024
</t>
  </si>
  <si>
    <t xml:space="preserve">The monthly premium rates for the Medical Buy- Up  plan are incorrect and need to be updated.
Employee only rate is $715.00
Emp + Spouse rate is $1490.00
Emp + Children rate is $1375.00
Family rate is $2165.00
</t>
  </si>
  <si>
    <t xml:space="preserve">Updated the monthly premium rates for the Medical Buy- Up  plan..
Employee only rate is $715.00
Emp + Spouse rate is $1490.00
Emp + Children rate is $1375.00
Family rate is $2165.00
</t>
  </si>
  <si>
    <t>No</t>
  </si>
  <si>
    <t>Add a “Union” division, they should be eligible for all benefits except Medical</t>
  </si>
  <si>
    <t xml:space="preserve">Add a “Union” division, and make it eligible for all benefits except for Medical
Rikki will move people into the appropriate division.
</t>
  </si>
  <si>
    <t>Yes</t>
  </si>
  <si>
    <t>Change waiting period for all plans to 31 days following DOH 
So benefits should be effective on the 31st day</t>
  </si>
  <si>
    <t xml:space="preserve">Change the waiting period and the new Hire for all plans to 31 days following DOH. 
So benefits should be effective on the 31st day.  </t>
  </si>
  <si>
    <t>Please update the division waiting period to "Date of Division" for ALL Plan Type to ensure COBRA enrollments align with eligibility requirements. 
Also, LaMunyon Drilling and Venture Enid 2013, Rename and add a prefix DO NOT USE.</t>
  </si>
  <si>
    <t>Updated the division waiting period to "Date of Division" for ALL Plan Type to ensure COBRA enrollments align with eligibility requirements. 
Also, LaMunyon Drilling and Venture Enid 2013, Rename and add a prefix DO NOT USE.</t>
  </si>
  <si>
    <t xml:space="preserve">Create a Class called “Owner” which is 100% EE paid for Medical. 
This Owners class is mapped for HCI Location Medical plans. Also, this class is eligible for all other plans same as full time. (it should match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 
 </t>
  </si>
  <si>
    <t xml:space="preserve">Created a Class called “Owner” which is 100% EE paid for Medical. 
This Owners class is mapped for HCI Location Medical plans. Also, this class is eligible for all other plans same as full time. (it matchs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 
 </t>
  </si>
  <si>
    <t xml:space="preserve">JREI wants to update the new hire duration period. Currently, it is sent to 90 days following the date of hire, and they want to change it to 30 days following the date of hire.  
They have already communicated the change to new hires currently in their new hire period of this change. 
Please update the new hire period.  </t>
  </si>
  <si>
    <t xml:space="preserve">New Hire duration change it to 30 days following the date of hire for all plans. </t>
  </si>
  <si>
    <t>We have received a new Department "4-7599 BLOWN FILM" (4-7599) for 8 employees. Please 4-7599 as a department. Eligibility should match the other departments.</t>
  </si>
  <si>
    <t>Please 4-7599 as a department. Eligibility should match the other departments.</t>
  </si>
  <si>
    <t>TrueNorth confirmed domestic partnership is not allowed for the medical plans. Please update the plans to not domestic partnerships.</t>
  </si>
  <si>
    <t xml:space="preserve">Remove domestic partnerships for Medical UMR carrier. Setup from the below order:
1)	Rates, 
2)	Plan setup
</t>
  </si>
  <si>
    <t xml:space="preserve">The client confirms they will start reporting a new division, Hugoton. Please add the division; we’ll need to create two:  
Hugoton 
Direct Bill – Hugoton 
The eligibility should match the other divisions.  
</t>
  </si>
  <si>
    <t xml:space="preserve"> Added the division; 
Hugoton 
Direct Bill – Hugoton 
Renamed the Direct Bill (Do Not Use) to Direct Bill – Hugoton
The eligibility should match the other divisions.  </t>
  </si>
  <si>
    <t xml:space="preserve">Allstate has informed us there is a regulatory requirements regarding Medicare Duplication Notices. This affects several of their product lines, including Accident, Cancer, Critical Illness, and Hospital Indemnity products. Since WCI is offering at least one of these products on its platform, we must display the Medicare Duplication Notice. 
Can we add the links under plan page resources section, and can we display it the per the employee state? If not, please post both links. 
o	Accident Form (Most States)
o	Accident Form (Louisiana)
</t>
  </si>
  <si>
    <t>Add the above links on plan page and resources section of Allstate carrier.</t>
  </si>
  <si>
    <t>Term locations and employees in Aspen, Bavarian, Country Lane effective 11/30/2024</t>
  </si>
  <si>
    <t xml:space="preserve">1)	Terminate employees in Aspen, Bavarian, Country Lane effective 11/30/2024
2)	After terminating the employees, add suffix as "Termed 12012024" for the locations that is getting terminated.
</t>
  </si>
  <si>
    <t xml:space="preserve">we need to change the eligibility rules for all of the plans. If an employees is rehired within 6 months of leaving, there is no waiting period and the plans pick up where they ended. If they are gone for over 6 months, there is a 90 day waiting period.
There is an employee Joseph Satterfield he was hired on 3/22/24 then termed on 9/11/24 and he was rehired on 10/22/24
</t>
  </si>
  <si>
    <t>Update the Rehire rule as shown below for all the plan.</t>
  </si>
  <si>
    <t xml:space="preserve">The correct rate for the Plan 3 Non Wellness and Wellness - HSA MTBCP008H' Medical plan is $1550.48 not $1550.40. This is for Employee + Spouse and DP coverage.
Please update.
</t>
  </si>
  <si>
    <t xml:space="preserve">Update rate for the Plan 3 Non Wellness and Wellness - HSA MTBCP008H' Medical plan is $1550.48 not $1550.40.
This is for Employee + Spouse and DP coverage.
</t>
  </si>
  <si>
    <t>Disable employee edits for Personal Information for HCAM</t>
  </si>
  <si>
    <t>Disable employee EDIT Access for Personal Information for the below fields. 
First Name 
Middle Name 
Last Name 
SSN 
DOB 
Gender 
Address 1 
Address 2 
City 
State 
Zip 
Home Phone</t>
  </si>
  <si>
    <t>For eligibility – can we change the system from date of eligibility to 90 days following the eligibility change.</t>
  </si>
  <si>
    <t>Update class eligibility effective date to “90 Day(s) Following Date of Hire” for all the plans.</t>
  </si>
  <si>
    <t xml:space="preserve">Effective 12/1/2024 we need to terminate all the employees in the Palos Heights location as that location has been sold off. You will then be able to inactivate that location. </t>
  </si>
  <si>
    <t>Effective 12/1/2024 we terminated all the employees in the Palos Heights location as that location has been sold off. And renamed location to Palos Heights Rehabilitation LLC - Do Not Use</t>
  </si>
  <si>
    <t xml:space="preserve">We need to change the Location waiting period rule to be same as New hire rule - "First of the Month Following 1 Month(s) from Date of Hire".  Correct 
This needs to be updated for all Medical plans of all locations including Bethany Lutheran except for Meadowview &amp; Ridgeview and STL West and TCC which will stay as "First of the Month Following 0 Day(s) from Date of Location" Correct 
No location waiting period changes for Dental, Vision, Basic Life etc. because change in location will not have any effect on these plans. or maybe as a standard we can keep "First of the Month Following 1 Month(s) from Date of Hire".  For this, the waiting period should be the same as bullet 1 with the exception of bullet 2. Essentially, if an employee moves from Anamosa to Elkader, they are considered a New Hire and have to meet the New Hire Waiting Period. But if an employee moves from Meadowview to Ridgeview or from STL West to TCC they do not have to re-meet a waiting period for any of the benefits. </t>
  </si>
  <si>
    <t xml:space="preserve">We changed the Location waiting period rule to be same as New hire rule - "First of the Month Following 1 Month(s) from Date of Hire". 
This is updated for all Medical plans of all locations including Bethany Lutheran except for Meadowview &amp; Ridgeview and STL West and TCC which will stay as "First of the Month Following 0 Day(s) from Date of Location". 
All the remaining plans (Dental, Vision, Basic Life, etc) rule is "First of the Month Following 1 Month(s) from Date of Hire". </t>
  </si>
  <si>
    <t xml:space="preserve">Current rates are incorrect, Terri has provided us with corrected rates. Can we please update.
</t>
  </si>
  <si>
    <t>Correct the Sievert Medical Rates.  Use the sheet called "Medical correct (2)"</t>
  </si>
  <si>
    <t xml:space="preserve">“Reinstate” employees are allowed to enroll without a waiting period. Please create the new class with suffix "No Waiting Period." The existing classes will be considered for the "With Waiting Period" scenario. </t>
  </si>
  <si>
    <t>We have added new classes mentioned below - 
1. Hire date on or after 1/1/12 (Under 2 years) - NWP
2. Hired 3/1/03-12/31/11 - NWP
3. Hired 3/1/99 -2/28/03 - NWP
4. Hired before 3/1/99 - NWP
5. Hire date on or after 1/1/12 (2+ years) - NWP
And added Rehire waiting period rules based on Classes.
Reason - “Reinstate” employees are allowed to enroll without a waiting period.</t>
  </si>
  <si>
    <t xml:space="preserve">Term locations and employees in Aspen, Bavarian, Country Lane effective 12/31/2024 for all plans except Medical.
Term Medical plan effective 12/1/2024 and benefits should end 11/30/2024..
</t>
  </si>
  <si>
    <t xml:space="preserve">Term Medical plan (Enhanced Blue 3000 PPO - CBA) effective 12/1/2024 and benefits will automatically end effective 11/30/2024.
We need to take action on 12/31/2024. Please keep a task to do this.
1)	Terminate employees in Aspen, Bavarian, Country Lane effective 12/31/2024 which should be not eligible from 1/1/2025.
2)	After terminating the employees, add suffix as "Termed 01012025" for the locations that is getting terminated.
</t>
  </si>
  <si>
    <t xml:space="preserve">ICCSD has a retiree who has come back to work in a new capacity, and they would like to allow the employee to enroll in the medical and dental retiree plan, but also in FSA and basic life and AD&amp;D.  
Please create a new location "Retiree Rehired" and make it eligible for Retiree Medical, Retiree Dental, Vision, Voluntary Life, FSA HC, FSA DC and basic life. Please move the employee in this new location with the 8/16/2024  rehire date. </t>
  </si>
  <si>
    <t>Added a new location "Retiree Rehired" and make it eligible for Retiree Medical, Retiree Dental, Vision, Voluntary Life, FSA HC, FSA DC, Long-Term Disability and basic life. Moved the employee (Dominic Audia) in this new location with the 8/16/2024 date.</t>
  </si>
  <si>
    <t>OneSource Restoration LLC</t>
  </si>
  <si>
    <t xml:space="preserve">Allow Domestic Partner Coverage for Medical plan and accordingly update the rates in Invoice and deductions. 
This applies to all 3 plans. </t>
  </si>
  <si>
    <t xml:space="preserve">Domestic Partner Coverage is added for Medical plan and accordingly updated the rates in Invoice and deductions. 
This applies to all 3 Medical plans. </t>
  </si>
  <si>
    <t xml:space="preserve">Please add an informational page in Benj and create a section in Flimp, with the details in this link; https://www.aflacenrollment.com/VICTORYPOWERLINESERVICE/P2L685933906 
This is for All employees. OSR/ATK/Victory. 
 </t>
  </si>
  <si>
    <t xml:space="preserve">Please create an informational page in Benj and create a section in Flimp, with the details in this link; https://www.aflacenrollment.com/VICTORYPOWERLINESERVICE/P2L685933906 
Name the plan type and Plan as “Aflac Information Only” with Carrier Aflac 
This is for All employees. OSR/ATK/Victory. 
This should also be added in New Hire Flow as well. </t>
  </si>
  <si>
    <t xml:space="preserve">Regarding the number of pay periods for certain classes. Specifically, making sure the start date entered for a new hire who is in an hourly position, such as the paraeducator class, is reflecting correctly for the per pay check cost. Currently, for those in an hourly position, we are manually calculating the employee premium costs when setting up their payroll deduction. 
</t>
  </si>
  <si>
    <t xml:space="preserve"> Added the below mentioned fields under Department, and we will be renaming the current department "All Employee" into "19 Paycycle" -
17 Paycycle
15 Paycycle
13 Paycycle
11 Paycycle
9 Paycycle
7 Paycycle
5 Paycycle
3 Paycycle
1 Paycycle
Rates for Medical, Dental and VIsion plans are updated based on the above paycycle for the below mentioned 3 classes -
School Year Secretary
Paraeducator
Nutrition Service</t>
  </si>
  <si>
    <t xml:space="preserve">Add the department "Michigan" </t>
  </si>
  <si>
    <t xml:space="preserve">Add the department "Michigan. 
Instead of adding, rename “DO NOT USE Orlando” to “Michigan”.  Eligibility is same as “Marinette” department. </t>
  </si>
  <si>
    <t>Aricent</t>
  </si>
  <si>
    <t>HGS</t>
  </si>
  <si>
    <t>Aspen Technology</t>
  </si>
  <si>
    <t>EBS Capstone</t>
  </si>
  <si>
    <t>Avante Auto Group</t>
  </si>
  <si>
    <t>Cherry Creek</t>
  </si>
  <si>
    <t>New Tech Global</t>
  </si>
  <si>
    <t>Kainos Partners</t>
  </si>
  <si>
    <t>Presbyterian School</t>
  </si>
  <si>
    <t>Technical Safety Services</t>
  </si>
  <si>
    <t>PBR Benefits</t>
  </si>
  <si>
    <t>Trendsetter Engineering</t>
  </si>
  <si>
    <t>UST Global</t>
  </si>
  <si>
    <t>Community Health Alliance</t>
  </si>
  <si>
    <t>Benefit Resource Group</t>
  </si>
  <si>
    <t xml:space="preserve">Riebes Auto Parts </t>
  </si>
  <si>
    <t>True North</t>
  </si>
  <si>
    <t>By Client</t>
  </si>
  <si>
    <t>Column Labels</t>
  </si>
  <si>
    <t>Row Labels</t>
  </si>
  <si>
    <t>Grand Total</t>
  </si>
  <si>
    <t>Fiore and Sons Inc</t>
  </si>
  <si>
    <t>GLO USA</t>
  </si>
  <si>
    <t>Limolink</t>
  </si>
  <si>
    <t>Count of Category</t>
  </si>
  <si>
    <t>Broker</t>
  </si>
  <si>
    <t>Broker Name</t>
  </si>
  <si>
    <t>Avg Time Spent</t>
  </si>
  <si>
    <t>Hanna Global</t>
  </si>
  <si>
    <t>Add/edit verbiage</t>
  </si>
  <si>
    <t>Rate correction</t>
  </si>
  <si>
    <t>Eligibility correction</t>
  </si>
  <si>
    <t>Add/edit plan</t>
  </si>
  <si>
    <t>Kelle's Transport Services</t>
  </si>
  <si>
    <t>Payroll setup correction</t>
  </si>
  <si>
    <t>Worldwide Equipment</t>
  </si>
  <si>
    <t>NLLG</t>
  </si>
  <si>
    <t>Sum of Avg Time Spent</t>
  </si>
  <si>
    <t>By Broker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</si>
</sst>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h:mm;@"/>
    <numFmt numFmtId="167" formatCode="mm/dd/yyyy"/>
  </numFmts>
  <fonts count="24" x14ac:knownFonts="1">
    <font>
      <sz val="11"/>
      <color theme="1"/>
      <name val="Calibri"/>
      <family val="2"/>
      <scheme val="minor"/>
    </font>
    <font>
      <b/>
      <sz val="10"/>
      <name val="Calibri"/>
      <family val="2"/>
      <scheme val="minor"/>
    </font>
    <font>
      <sz val="10"/>
      <color theme="1"/>
      <name val="Calibri"/>
      <family val="2"/>
      <scheme val="minor"/>
    </font>
    <font>
      <sz val="10"/>
      <name val="Calibri"/>
      <family val="2"/>
      <scheme val="minor"/>
    </font>
    <font>
      <sz val="11"/>
      <color theme="1"/>
      <name val="Calibri"/>
      <family val="2"/>
      <scheme val="minor"/>
    </font>
    <font>
      <b/>
      <sz val="11"/>
      <name val="Calibri"/>
      <family val="2"/>
      <scheme val="minor"/>
    </font>
    <font>
      <sz val="11"/>
      <color theme="1"/>
      <name val="Calibri"/>
      <family val="2"/>
      <scheme val="minor"/>
    </font>
    <font>
      <sz val="11"/>
      <name val="Calibri"/>
      <family val="2"/>
      <scheme val="minor"/>
    </font>
    <font>
      <sz val="10"/>
      <color theme="1"/>
      <name val="Arial"/>
      <family val="2"/>
    </font>
    <font>
      <u/>
      <sz val="11"/>
      <color theme="10"/>
      <name val="Calibri"/>
      <family val="2"/>
      <scheme val="minor"/>
    </font>
    <font>
      <sz val="11"/>
      <color rgb="FF000000"/>
      <name val="Calibri"/>
      <family val="2"/>
    </font>
    <font>
      <b/>
      <sz val="11"/>
      <color rgb="FF000000"/>
      <name val="Calibri"/>
      <family val="2"/>
    </font>
    <font>
      <sz val="11"/>
      <color rgb="FF000000"/>
      <name val="Raleway"/>
    </font>
    <font>
      <sz val="11"/>
      <color rgb="FF0D0D0D"/>
      <name val="Calibri"/>
      <family val="2"/>
      <scheme val="minor"/>
    </font>
    <font>
      <sz val="7"/>
      <color rgb="FF0D0D0D"/>
      <name val="Calibri"/>
      <family val="2"/>
      <scheme val="minor"/>
    </font>
    <font>
      <sz val="9"/>
      <color rgb="FF000000"/>
      <name val="Verdana"/>
      <family val="2"/>
    </font>
    <font>
      <b/>
      <sz val="11"/>
      <color rgb="FF000000"/>
      <name val="Calibri"/>
      <family val="2"/>
      <scheme val="minor"/>
    </font>
    <font>
      <sz val="11"/>
      <color rgb="FF000000"/>
      <name val="Calibri"/>
      <family val="2"/>
      <scheme val="minor"/>
    </font>
    <font>
      <sz val="11"/>
      <color rgb="FF573B23"/>
      <name val="Calibri"/>
      <family val="2"/>
      <scheme val="minor"/>
    </font>
    <font>
      <sz val="11"/>
      <color rgb="FF000000"/>
      <name val="Calibri"/>
    </font>
    <font>
      <b/>
      <sz val="11"/>
      <color rgb="FF000000"/>
      <name val="Calibri"/>
    </font>
    <font>
      <sz val="11"/>
      <color rgb="FF000000"/>
      <name val="Calibri"/>
      <scheme val="minor"/>
    </font>
    <font>
      <b/>
      <sz val="11"/>
      <color rgb="FF000000"/>
      <name val="Calibri"/>
      <scheme val="minor"/>
    </font>
    <font>
      <sz val="9"/>
      <color rgb="FF000000"/>
      <name val="Verdana"/>
      <charset val="1"/>
    </font>
  </fonts>
  <fills count="6">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DDEBF7"/>
        <bgColor rgb="FFDDEBF7"/>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right style="thin">
        <color rgb="FF9BC2E6"/>
      </right>
      <top style="thin">
        <color rgb="FF9BC2E6"/>
      </top>
      <bottom/>
      <diagonal/>
    </border>
  </borders>
  <cellStyleXfs count="2">
    <xf numFmtId="0" fontId="0" fillId="0" borderId="0"/>
    <xf numFmtId="0" fontId="9" fillId="0" borderId="0" applyNumberFormat="0" applyFill="0" applyBorder="0" applyAlignment="0" applyProtection="0"/>
  </cellStyleXfs>
  <cellXfs count="62">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0" xfId="0" applyFont="1" applyAlignment="1">
      <alignment horizontal="center" vertical="center" wrapText="1"/>
    </xf>
    <xf numFmtId="0" fontId="3" fillId="0" borderId="0" xfId="0" applyFont="1" applyAlignment="1">
      <alignment horizontal="left" vertical="center" wrapText="1"/>
    </xf>
    <xf numFmtId="14" fontId="3" fillId="0" borderId="0" xfId="0" applyNumberFormat="1" applyFont="1" applyAlignment="1">
      <alignment horizontal="center" vertical="center" wrapText="1"/>
    </xf>
    <xf numFmtId="0" fontId="2" fillId="0" borderId="0" xfId="0" applyFont="1" applyAlignment="1">
      <alignment horizontal="left" vertical="center"/>
    </xf>
    <xf numFmtId="0" fontId="2" fillId="0" borderId="0" xfId="0" pivotButton="1" applyFont="1" applyAlignment="1">
      <alignment horizontal="center" vertical="center"/>
    </xf>
    <xf numFmtId="0" fontId="2" fillId="0" borderId="0" xfId="0" applyFont="1" applyAlignment="1">
      <alignment horizontal="center" vertical="center"/>
    </xf>
    <xf numFmtId="0" fontId="2" fillId="0" borderId="0" xfId="0" pivotButton="1" applyFont="1" applyAlignment="1">
      <alignment horizontal="left" vertical="center"/>
    </xf>
    <xf numFmtId="0" fontId="2" fillId="4" borderId="0" xfId="0" applyFont="1" applyFill="1" applyAlignment="1">
      <alignment horizontal="left" vertical="center"/>
    </xf>
    <xf numFmtId="0" fontId="4" fillId="0" borderId="0" xfId="0" applyFont="1"/>
    <xf numFmtId="0" fontId="5" fillId="3" borderId="2" xfId="0" applyFont="1" applyFill="1" applyBorder="1" applyAlignment="1">
      <alignment vertical="center"/>
    </xf>
    <xf numFmtId="0" fontId="5" fillId="3" borderId="3" xfId="0" applyFont="1" applyFill="1" applyBorder="1" applyAlignment="1">
      <alignment vertical="center"/>
    </xf>
    <xf numFmtId="0" fontId="5" fillId="3" borderId="3" xfId="0" applyFont="1" applyFill="1" applyBorder="1" applyAlignment="1">
      <alignment horizontal="left" vertical="center"/>
    </xf>
    <xf numFmtId="0" fontId="6" fillId="0" borderId="0" xfId="0" applyFont="1"/>
    <xf numFmtId="0" fontId="7" fillId="0" borderId="0" xfId="0" applyFont="1" applyAlignment="1">
      <alignment horizontal="center" vertical="center" wrapText="1"/>
    </xf>
    <xf numFmtId="0" fontId="7" fillId="0" borderId="0" xfId="0" applyFont="1" applyAlignment="1">
      <alignment horizontal="left" vertical="center" wrapText="1"/>
    </xf>
    <xf numFmtId="0" fontId="5" fillId="3" borderId="4" xfId="0" applyFont="1" applyFill="1" applyBorder="1" applyAlignment="1">
      <alignment horizontal="center" vertical="center" wrapText="1"/>
    </xf>
    <xf numFmtId="20" fontId="7" fillId="0" borderId="0" xfId="0" applyNumberFormat="1" applyFont="1" applyAlignment="1">
      <alignment horizontal="center" vertical="center" wrapText="1"/>
    </xf>
    <xf numFmtId="20" fontId="7" fillId="0" borderId="0" xfId="0" applyNumberFormat="1" applyFont="1" applyAlignment="1">
      <alignment horizontal="left" vertical="center" wrapText="1"/>
    </xf>
    <xf numFmtId="166" fontId="7" fillId="0" borderId="0" xfId="0" applyNumberFormat="1" applyFont="1" applyAlignment="1">
      <alignment horizontal="center" vertical="center" wrapText="1"/>
    </xf>
    <xf numFmtId="0" fontId="0" fillId="0" borderId="0" xfId="0" applyAlignment="1">
      <alignment wrapText="1"/>
    </xf>
    <xf numFmtId="14" fontId="7" fillId="0" borderId="0" xfId="0" applyNumberFormat="1" applyFont="1" applyAlignment="1">
      <alignment horizontal="center" vertical="center" wrapText="1"/>
    </xf>
    <xf numFmtId="167" fontId="7" fillId="0" borderId="0" xfId="0" applyNumberFormat="1" applyFont="1" applyAlignment="1">
      <alignment horizontal="center" vertical="center" wrapText="1"/>
    </xf>
    <xf numFmtId="0" fontId="8" fillId="0" borderId="1" xfId="0" applyFont="1" applyBorder="1" applyAlignment="1">
      <alignment horizontal="left" vertical="top" wrapText="1"/>
    </xf>
    <xf numFmtId="0" fontId="10" fillId="0" borderId="0" xfId="0" applyFont="1" applyAlignment="1">
      <alignment horizontal="left" vertical="center" wrapText="1"/>
    </xf>
    <xf numFmtId="0" fontId="7" fillId="0" borderId="6" xfId="0" applyFont="1" applyBorder="1" applyAlignment="1">
      <alignment horizontal="left" vertical="center" wrapText="1"/>
    </xf>
    <xf numFmtId="0" fontId="12" fillId="0" borderId="0" xfId="0" applyFont="1" applyAlignment="1">
      <alignment horizontal="left" vertical="center" wrapText="1"/>
    </xf>
    <xf numFmtId="0" fontId="15" fillId="0" borderId="0" xfId="0" applyFont="1" applyAlignment="1">
      <alignment horizontal="center" vertical="center"/>
    </xf>
    <xf numFmtId="0" fontId="4" fillId="3" borderId="0" xfId="0" applyFont="1" applyFill="1"/>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5" fillId="0" borderId="0" xfId="0" applyFont="1" applyAlignment="1">
      <alignment horizontal="left" vertical="center"/>
    </xf>
    <xf numFmtId="0" fontId="9" fillId="0" borderId="0" xfId="1" applyNumberFormat="1" applyAlignment="1">
      <alignment horizontal="center" vertical="center" wrapText="1"/>
    </xf>
    <xf numFmtId="0" fontId="0" fillId="0" borderId="7" xfId="0" applyBorder="1" applyAlignment="1">
      <alignment wrapText="1"/>
    </xf>
    <xf numFmtId="0" fontId="0" fillId="0" borderId="0" xfId="0" applyAlignment="1">
      <alignment vertical="center" wrapText="1"/>
    </xf>
    <xf numFmtId="0" fontId="7" fillId="0" borderId="0" xfId="0" applyFont="1" applyAlignment="1">
      <alignment vertical="center" wrapText="1"/>
    </xf>
    <xf numFmtId="0" fontId="7" fillId="0" borderId="10" xfId="0" applyFont="1" applyBorder="1" applyAlignment="1">
      <alignment horizontal="center" vertical="center" wrapText="1"/>
    </xf>
    <xf numFmtId="0" fontId="7" fillId="5" borderId="10" xfId="0" applyFont="1" applyFill="1" applyBorder="1" applyAlignment="1">
      <alignment horizontal="center" vertical="center" wrapText="1"/>
    </xf>
    <xf numFmtId="0" fontId="7" fillId="0" borderId="11" xfId="0" applyFont="1" applyBorder="1" applyAlignment="1">
      <alignment horizontal="left" vertical="center" wrapText="1"/>
    </xf>
    <xf numFmtId="0" fontId="7" fillId="5" borderId="11" xfId="0" applyFont="1" applyFill="1" applyBorder="1" applyAlignment="1">
      <alignment horizontal="left" vertical="center" wrapText="1"/>
    </xf>
    <xf numFmtId="0" fontId="7" fillId="0" borderId="11" xfId="0" applyFont="1" applyBorder="1" applyAlignment="1">
      <alignment horizontal="center" vertical="center" wrapText="1"/>
    </xf>
    <xf numFmtId="0" fontId="7" fillId="5" borderId="11" xfId="0" applyFont="1" applyFill="1" applyBorder="1" applyAlignment="1">
      <alignment horizontal="center" vertical="center" wrapText="1"/>
    </xf>
    <xf numFmtId="167" fontId="7" fillId="0" borderId="11" xfId="0" applyNumberFormat="1" applyFont="1" applyBorder="1" applyAlignment="1">
      <alignment horizontal="center" vertical="center" wrapText="1"/>
    </xf>
    <xf numFmtId="167" fontId="7" fillId="5" borderId="11" xfId="0" applyNumberFormat="1" applyFont="1" applyFill="1" applyBorder="1" applyAlignment="1">
      <alignment horizontal="center" vertical="center" wrapText="1"/>
    </xf>
    <xf numFmtId="0" fontId="7" fillId="0" borderId="12" xfId="0" applyFont="1" applyBorder="1" applyAlignment="1">
      <alignment horizontal="center" vertical="center" wrapText="1"/>
    </xf>
    <xf numFmtId="0" fontId="7" fillId="5" borderId="12"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7" fillId="5" borderId="14" xfId="0" applyFont="1" applyFill="1" applyBorder="1" applyAlignment="1">
      <alignment horizontal="left" vertical="center" wrapText="1"/>
    </xf>
    <xf numFmtId="0" fontId="7" fillId="5" borderId="14" xfId="0" applyFont="1" applyFill="1" applyBorder="1" applyAlignment="1">
      <alignment horizontal="center" vertical="center" wrapText="1"/>
    </xf>
    <xf numFmtId="167" fontId="7" fillId="5" borderId="14" xfId="0" applyNumberFormat="1" applyFont="1" applyFill="1" applyBorder="1" applyAlignment="1">
      <alignment horizontal="center" vertical="center" wrapText="1"/>
    </xf>
    <xf numFmtId="0" fontId="7" fillId="5" borderId="15" xfId="0" applyFont="1" applyFill="1" applyBorder="1" applyAlignment="1">
      <alignment horizontal="center" vertical="center" wrapText="1"/>
    </xf>
    <xf numFmtId="0" fontId="17" fillId="0" borderId="0" xfId="0" applyFont="1" applyAlignment="1">
      <alignment horizontal="center" vertical="center"/>
    </xf>
    <xf numFmtId="0" fontId="18" fillId="0" borderId="0" xfId="0" applyFont="1" applyAlignment="1">
      <alignment vertical="center" wrapText="1"/>
    </xf>
    <xf numFmtId="0" fontId="17" fillId="0" borderId="0" xfId="0" applyFont="1" applyAlignment="1">
      <alignment horizontal="left" vertical="center" wrapText="1"/>
    </xf>
    <xf numFmtId="0" fontId="21" fillId="0" borderId="0" xfId="0" applyFont="1" applyAlignment="1">
      <alignment horizontal="left" vertical="center" wrapText="1"/>
    </xf>
    <xf numFmtId="0" fontId="23" fillId="0" borderId="0" xfId="0" applyFont="1" applyAlignment="1">
      <alignment horizontal="center" vertical="center"/>
    </xf>
    <xf numFmtId="0" fontId="19" fillId="0" borderId="0" xfId="0" applyFont="1" applyAlignment="1">
      <alignment wrapText="1"/>
    </xf>
    <xf numFmtId="0" fontId="7" fillId="0" borderId="7" xfId="0" applyFont="1" applyBorder="1" applyAlignment="1">
      <alignment horizontal="left" vertical="center" wrapText="1"/>
    </xf>
    <xf numFmtId="0" fontId="19" fillId="0" borderId="7" xfId="0" applyFont="1" applyBorder="1" applyAlignment="1">
      <alignment wrapText="1"/>
    </xf>
  </cellXfs>
  <cellStyles count="2">
    <cellStyle name="Hyperlink" xfId="1" builtinId="8"/>
    <cellStyle name="Normal" xfId="0" builtinId="0"/>
  </cellStyles>
  <dxfs count="288">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6"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border outline="0">
        <top style="thin">
          <color indexed="64"/>
        </top>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6"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border outline="0">
        <top style="thin">
          <color rgb="FF000000"/>
        </top>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6"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25" formatCode="h:mm"/>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mm/dd/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dxf>
    <dxf>
      <border outline="0">
        <top style="thin">
          <color rgb="FF000000"/>
        </top>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ip Kumar" refreshedDate="43271.786348379632" createdVersion="6" refreshedVersion="6" minRefreshableVersion="3" recordCount="27" xr:uid="{00000000-000A-0000-FFFF-FFFFF6010000}">
  <cacheSource type="worksheet">
    <worksheetSource ref="A1:F28" sheet="Source Data Old"/>
  </cacheSource>
  <cacheFields count="6">
    <cacheField name="Month" numFmtId="0">
      <sharedItems/>
    </cacheField>
    <cacheField name="Client Name" numFmtId="0">
      <sharedItems count="17">
        <s v="Aricent"/>
        <s v="Aspen Technology"/>
        <s v="Avante Auto Group"/>
        <s v="Enertia Software"/>
        <s v="Fiore and Sons Inc"/>
        <s v="GLO USA"/>
        <s v="Kelle's Transport Services"/>
        <s v="Limolink"/>
        <s v="New Tech Global"/>
        <s v="Presbyterian School"/>
        <s v="Technical Safety Services"/>
        <s v="Trendsetter Engineering"/>
        <s v="UST Global"/>
        <s v="Worldwide Equipment"/>
        <s v="Community Health Alliance"/>
        <s v="NLLG"/>
        <s v="Riebes Auto Parts "/>
      </sharedItems>
    </cacheField>
    <cacheField name="Broker Name" numFmtId="0">
      <sharedItems count="11">
        <s v="Hanna Global"/>
        <s v="EBS Capstone"/>
        <s v="EPIC"/>
        <s v="Dillingham Benefits"/>
        <s v="Cherry Creek"/>
        <s v="Johnson &amp; Dugan"/>
        <s v="True North"/>
        <s v="Kainos Partners"/>
        <s v="PBR Benefits"/>
        <s v="Benefit Resource Group"/>
        <s v="HGS" u="1"/>
      </sharedItems>
    </cacheField>
    <cacheField name="Change Requested By" numFmtId="0">
      <sharedItems/>
    </cacheField>
    <cacheField name="Category" numFmtId="14">
      <sharedItems count="6">
        <s v="Add/edit verbiage"/>
        <s v="Rate correction"/>
        <s v="Eligibility correction"/>
        <s v="Add/edit plan"/>
        <s v="Payroll setup correction"/>
        <s v="Format correction" u="1"/>
      </sharedItems>
    </cacheField>
    <cacheField name="Avg Time Spent" numFmtId="0">
      <sharedItems containsSemiMixedTypes="0" containsString="0" containsNumber="1" minValue="0.3"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August"/>
    <x v="0"/>
    <x v="0"/>
    <s v="HGS"/>
    <x v="0"/>
    <n v="2.2999999999999998"/>
  </r>
  <r>
    <s v="August"/>
    <x v="0"/>
    <x v="0"/>
    <s v="Client"/>
    <x v="0"/>
    <n v="0.45"/>
  </r>
  <r>
    <s v="August"/>
    <x v="0"/>
    <x v="0"/>
    <s v="Client"/>
    <x v="1"/>
    <n v="0.3"/>
  </r>
  <r>
    <s v="September"/>
    <x v="0"/>
    <x v="0"/>
    <s v="Client"/>
    <x v="1"/>
    <n v="0.3"/>
  </r>
  <r>
    <s v="August"/>
    <x v="1"/>
    <x v="1"/>
    <s v="Broker"/>
    <x v="2"/>
    <n v="0.45"/>
  </r>
  <r>
    <s v="August"/>
    <x v="2"/>
    <x v="2"/>
    <s v="Broker"/>
    <x v="2"/>
    <n v="0.3"/>
  </r>
  <r>
    <s v="August"/>
    <x v="3"/>
    <x v="3"/>
    <s v="Broker"/>
    <x v="2"/>
    <n v="2.2999999999999998"/>
  </r>
  <r>
    <s v="August"/>
    <x v="4"/>
    <x v="4"/>
    <s v="Broker"/>
    <x v="3"/>
    <n v="1"/>
  </r>
  <r>
    <s v="August"/>
    <x v="5"/>
    <x v="5"/>
    <s v="Broker"/>
    <x v="2"/>
    <n v="0.3"/>
  </r>
  <r>
    <s v="August"/>
    <x v="6"/>
    <x v="6"/>
    <s v="Broker"/>
    <x v="2"/>
    <n v="3.3"/>
  </r>
  <r>
    <s v="August"/>
    <x v="6"/>
    <x v="6"/>
    <s v="Broker"/>
    <x v="2"/>
    <n v="1.3"/>
  </r>
  <r>
    <s v="August"/>
    <x v="7"/>
    <x v="6"/>
    <s v="Broker"/>
    <x v="1"/>
    <n v="0.45"/>
  </r>
  <r>
    <s v="August"/>
    <x v="8"/>
    <x v="7"/>
    <s v="Broker"/>
    <x v="2"/>
    <n v="3"/>
  </r>
  <r>
    <s v="August"/>
    <x v="8"/>
    <x v="7"/>
    <s v="Broker"/>
    <x v="4"/>
    <n v="2.2999999999999998"/>
  </r>
  <r>
    <s v="August"/>
    <x v="8"/>
    <x v="7"/>
    <s v="Broker"/>
    <x v="2"/>
    <n v="4"/>
  </r>
  <r>
    <s v="August"/>
    <x v="8"/>
    <x v="7"/>
    <s v="Broker"/>
    <x v="2"/>
    <n v="4"/>
  </r>
  <r>
    <s v="August"/>
    <x v="9"/>
    <x v="7"/>
    <s v="Broker"/>
    <x v="3"/>
    <n v="0.3"/>
  </r>
  <r>
    <s v="August"/>
    <x v="10"/>
    <x v="8"/>
    <s v="Broker"/>
    <x v="2"/>
    <n v="0.45"/>
  </r>
  <r>
    <s v="August"/>
    <x v="11"/>
    <x v="7"/>
    <s v="Broker"/>
    <x v="3"/>
    <n v="1"/>
  </r>
  <r>
    <s v="August"/>
    <x v="12"/>
    <x v="0"/>
    <s v="Client"/>
    <x v="0"/>
    <n v="0.3"/>
  </r>
  <r>
    <s v="August"/>
    <x v="13"/>
    <x v="6"/>
    <s v="Broker"/>
    <x v="2"/>
    <n v="0.3"/>
  </r>
  <r>
    <s v="September"/>
    <x v="14"/>
    <x v="9"/>
    <s v="Broker"/>
    <x v="2"/>
    <n v="0.3"/>
  </r>
  <r>
    <s v="September"/>
    <x v="4"/>
    <x v="4"/>
    <s v="Broker"/>
    <x v="2"/>
    <n v="0.45"/>
  </r>
  <r>
    <s v="September"/>
    <x v="15"/>
    <x v="3"/>
    <s v="Broker"/>
    <x v="3"/>
    <n v="0.3"/>
  </r>
  <r>
    <s v="September"/>
    <x v="16"/>
    <x v="2"/>
    <s v="Broker"/>
    <x v="1"/>
    <n v="1"/>
  </r>
  <r>
    <s v="September"/>
    <x v="10"/>
    <x v="8"/>
    <s v="Broker"/>
    <x v="2"/>
    <n v="3.3"/>
  </r>
  <r>
    <s v="September"/>
    <x v="13"/>
    <x v="6"/>
    <s v="Broker"/>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G36" firstHeaderRow="1" firstDataRow="2" firstDataCol="1"/>
  <pivotFields count="6">
    <pivotField subtotalTop="0" showAll="0"/>
    <pivotField subtotalTop="0" showAll="0"/>
    <pivotField axis="axisRow" subtotalTop="0" showAll="0">
      <items count="12">
        <item x="9"/>
        <item x="4"/>
        <item x="3"/>
        <item x="1"/>
        <item x="2"/>
        <item x="0"/>
        <item m="1" x="10"/>
        <item x="5"/>
        <item x="7"/>
        <item x="8"/>
        <item x="6"/>
        <item t="default"/>
      </items>
    </pivotField>
    <pivotField subtotalTop="0" showAll="0"/>
    <pivotField axis="axisCol" dataField="1" subtotalTop="0" showAll="0">
      <items count="7">
        <item x="3"/>
        <item x="0"/>
        <item x="2"/>
        <item m="1" x="5"/>
        <item x="4"/>
        <item x="1"/>
        <item t="default"/>
      </items>
    </pivotField>
    <pivotField subtotalTop="0" showAll="0"/>
  </pivotFields>
  <rowFields count="1">
    <field x="2"/>
  </rowFields>
  <rowItems count="11">
    <i>
      <x/>
    </i>
    <i>
      <x v="1"/>
    </i>
    <i>
      <x v="2"/>
    </i>
    <i>
      <x v="3"/>
    </i>
    <i>
      <x v="4"/>
    </i>
    <i>
      <x v="5"/>
    </i>
    <i>
      <x v="7"/>
    </i>
    <i>
      <x v="8"/>
    </i>
    <i>
      <x v="9"/>
    </i>
    <i>
      <x v="10"/>
    </i>
    <i t="grand">
      <x/>
    </i>
  </rowItems>
  <colFields count="1">
    <field x="4"/>
  </colFields>
  <colItems count="6">
    <i>
      <x/>
    </i>
    <i>
      <x v="1"/>
    </i>
    <i>
      <x v="2"/>
    </i>
    <i>
      <x v="4"/>
    </i>
    <i>
      <x v="5"/>
    </i>
    <i t="grand">
      <x/>
    </i>
  </colItems>
  <dataFields count="1">
    <dataField name="Count of Category" fld="4" subtotal="count" baseField="0" baseItem="0"/>
  </dataFields>
  <formats count="64">
    <format dxfId="63">
      <pivotArea type="all" dataOnly="0" outline="0" fieldPosition="0"/>
    </format>
    <format dxfId="62">
      <pivotArea outline="0" collapsedLevelsAreSubtotals="1" fieldPosition="0"/>
    </format>
    <format dxfId="61">
      <pivotArea type="origin" dataOnly="0" labelOnly="1" outline="0" fieldPosition="0"/>
    </format>
    <format dxfId="60">
      <pivotArea field="4" type="button" dataOnly="0" labelOnly="1" outline="0" axis="axisCol" fieldPosition="0"/>
    </format>
    <format dxfId="59">
      <pivotArea type="topRight" dataOnly="0" labelOnly="1" outline="0"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fieldPosition="0">
        <references count="1">
          <reference field="4" count="0"/>
        </references>
      </pivotArea>
    </format>
    <format dxfId="54">
      <pivotArea dataOnly="0" labelOnly="1" grandCol="1" outline="0"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4" type="button" dataOnly="0" labelOnly="1" outline="0" axis="axisCol" fieldPosition="0"/>
    </format>
    <format dxfId="49">
      <pivotArea type="topRight" dataOnly="0" labelOnly="1" outline="0"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fieldPosition="0">
        <references count="1">
          <reference field="4" count="0"/>
        </references>
      </pivotArea>
    </format>
    <format dxfId="44">
      <pivotArea dataOnly="0" labelOnly="1" grandCol="1" outline="0" fieldPosition="0"/>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4" type="button" dataOnly="0" labelOnly="1" outline="0" axis="axisCol" fieldPosition="0"/>
    </format>
    <format dxfId="39">
      <pivotArea type="topRight" dataOnly="0" labelOnly="1" outline="0" fieldPosition="0"/>
    </format>
    <format dxfId="38">
      <pivotArea field="2" type="button" dataOnly="0" labelOnly="1" outline="0" axis="axisRow" fieldPosition="0"/>
    </format>
    <format dxfId="37">
      <pivotArea dataOnly="0" labelOnly="1" fieldPosition="0">
        <references count="1">
          <reference field="2" count="0"/>
        </references>
      </pivotArea>
    </format>
    <format dxfId="36">
      <pivotArea dataOnly="0" labelOnly="1" grandRow="1" outline="0" fieldPosition="0"/>
    </format>
    <format dxfId="35">
      <pivotArea dataOnly="0" labelOnly="1" fieldPosition="0">
        <references count="1">
          <reference field="4" count="0"/>
        </references>
      </pivotArea>
    </format>
    <format dxfId="34">
      <pivotArea dataOnly="0" labelOnly="1" grandCol="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4" type="button" dataOnly="0" labelOnly="1" outline="0" axis="axisCol" fieldPosition="0"/>
    </format>
    <format dxfId="29">
      <pivotArea type="topRight" dataOnly="0" labelOnly="1" outline="0"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fieldPosition="0">
        <references count="1">
          <reference field="4" count="0"/>
        </references>
      </pivotArea>
    </format>
    <format dxfId="24">
      <pivotArea dataOnly="0" labelOnly="1" grandCol="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4" type="button" dataOnly="0" labelOnly="1" outline="0" axis="axisCol" fieldPosition="0"/>
    </format>
    <format dxfId="19">
      <pivotArea type="topRight" dataOnly="0" labelOnly="1" outline="0"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fieldPosition="0">
        <references count="1">
          <reference field="4" count="0"/>
        </references>
      </pivotArea>
    </format>
    <format dxfId="14">
      <pivotArea dataOnly="0" labelOnly="1" grandCol="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4" type="button" dataOnly="0" labelOnly="1" outline="0" axis="axisCol" fieldPosition="0"/>
    </format>
    <format dxfId="9">
      <pivotArea type="topRight" dataOnly="0" labelOnly="1" outline="0"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1">
          <reference field="4" count="0"/>
        </references>
      </pivotArea>
    </format>
    <format dxfId="4">
      <pivotArea dataOnly="0" labelOnly="1" grandCol="1" outline="0" fieldPosition="0"/>
    </format>
    <format dxfId="3">
      <pivotArea type="origin" dataOnly="0" labelOnly="1" outline="0"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G21" firstHeaderRow="1" firstDataRow="2" firstDataCol="1"/>
  <pivotFields count="6">
    <pivotField subtotalTop="0" showAll="0"/>
    <pivotField axis="axisRow" subtotalTop="0" showAll="0">
      <items count="18">
        <item x="0"/>
        <item x="1"/>
        <item x="2"/>
        <item x="14"/>
        <item x="3"/>
        <item x="4"/>
        <item x="5"/>
        <item x="6"/>
        <item x="7"/>
        <item x="8"/>
        <item x="15"/>
        <item x="9"/>
        <item x="16"/>
        <item x="10"/>
        <item x="11"/>
        <item x="12"/>
        <item x="13"/>
        <item t="default"/>
      </items>
    </pivotField>
    <pivotField subtotalTop="0" showAll="0"/>
    <pivotField subtotalTop="0" showAll="0"/>
    <pivotField axis="axisCol" subtotalTop="0" showAll="0">
      <items count="7">
        <item x="3"/>
        <item x="0"/>
        <item x="2"/>
        <item m="1" x="5"/>
        <item x="4"/>
        <item x="1"/>
        <item t="default"/>
      </items>
    </pivotField>
    <pivotField dataField="1" subtotalTop="0" showAll="0"/>
  </pivotFields>
  <rowFields count="1">
    <field x="1"/>
  </rowFields>
  <rowItems count="18">
    <i>
      <x/>
    </i>
    <i>
      <x v="1"/>
    </i>
    <i>
      <x v="2"/>
    </i>
    <i>
      <x v="3"/>
    </i>
    <i>
      <x v="4"/>
    </i>
    <i>
      <x v="5"/>
    </i>
    <i>
      <x v="6"/>
    </i>
    <i>
      <x v="7"/>
    </i>
    <i>
      <x v="8"/>
    </i>
    <i>
      <x v="9"/>
    </i>
    <i>
      <x v="10"/>
    </i>
    <i>
      <x v="11"/>
    </i>
    <i>
      <x v="12"/>
    </i>
    <i>
      <x v="13"/>
    </i>
    <i>
      <x v="14"/>
    </i>
    <i>
      <x v="15"/>
    </i>
    <i>
      <x v="16"/>
    </i>
    <i t="grand">
      <x/>
    </i>
  </rowItems>
  <colFields count="1">
    <field x="4"/>
  </colFields>
  <colItems count="6">
    <i>
      <x/>
    </i>
    <i>
      <x v="1"/>
    </i>
    <i>
      <x v="2"/>
    </i>
    <i>
      <x v="4"/>
    </i>
    <i>
      <x v="5"/>
    </i>
    <i t="grand">
      <x/>
    </i>
  </colItems>
  <dataFields count="1">
    <dataField name="Sum of Avg Time Spent" fld="5" baseField="0" baseItem="0"/>
  </dataFields>
  <formats count="95">
    <format dxfId="158">
      <pivotArea type="all" dataOnly="0" outline="0" fieldPosition="0"/>
    </format>
    <format dxfId="157">
      <pivotArea outline="0" collapsedLevelsAreSubtotals="1" fieldPosition="0"/>
    </format>
    <format dxfId="156">
      <pivotArea type="origin" dataOnly="0" labelOnly="1" outline="0" fieldPosition="0"/>
    </format>
    <format dxfId="155">
      <pivotArea field="4" type="button" dataOnly="0" labelOnly="1" outline="0" axis="axisCol" fieldPosition="0"/>
    </format>
    <format dxfId="154">
      <pivotArea type="topRight" dataOnly="0" labelOnly="1" outline="0"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fieldPosition="0">
        <references count="1">
          <reference field="4" count="0"/>
        </references>
      </pivotArea>
    </format>
    <format dxfId="149">
      <pivotArea dataOnly="0" labelOnly="1" grandCol="1" outline="0" fieldPosition="0"/>
    </format>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4" type="button" dataOnly="0" labelOnly="1" outline="0" axis="axisCol" fieldPosition="0"/>
    </format>
    <format dxfId="144">
      <pivotArea type="topRight" dataOnly="0" labelOnly="1" outline="0" fieldPosition="0"/>
    </format>
    <format dxfId="143">
      <pivotArea field="1" type="button" dataOnly="0" labelOnly="1" outline="0" axis="axisRow" fieldPosition="0"/>
    </format>
    <format dxfId="142">
      <pivotArea dataOnly="0" labelOnly="1" fieldPosition="0">
        <references count="1">
          <reference field="1" count="0"/>
        </references>
      </pivotArea>
    </format>
    <format dxfId="141">
      <pivotArea dataOnly="0" labelOnly="1" grandRow="1" outline="0" fieldPosition="0"/>
    </format>
    <format dxfId="140">
      <pivotArea dataOnly="0" labelOnly="1" fieldPosition="0">
        <references count="1">
          <reference field="4" count="0"/>
        </references>
      </pivotArea>
    </format>
    <format dxfId="139">
      <pivotArea dataOnly="0" labelOnly="1" grandCol="1" outline="0" fieldPosition="0"/>
    </format>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4" type="button" dataOnly="0" labelOnly="1" outline="0" axis="axisCol" fieldPosition="0"/>
    </format>
    <format dxfId="134">
      <pivotArea type="topRight" dataOnly="0" labelOnly="1" outline="0" fieldPosition="0"/>
    </format>
    <format dxfId="133">
      <pivotArea field="1" type="button" dataOnly="0" labelOnly="1" outline="0" axis="axisRow" fieldPosition="0"/>
    </format>
    <format dxfId="132">
      <pivotArea dataOnly="0" labelOnly="1" fieldPosition="0">
        <references count="1">
          <reference field="1" count="0"/>
        </references>
      </pivotArea>
    </format>
    <format dxfId="131">
      <pivotArea dataOnly="0" labelOnly="1" grandRow="1" outline="0" fieldPosition="0"/>
    </format>
    <format dxfId="130">
      <pivotArea dataOnly="0" labelOnly="1" fieldPosition="0">
        <references count="1">
          <reference field="4" count="0"/>
        </references>
      </pivotArea>
    </format>
    <format dxfId="129">
      <pivotArea dataOnly="0" labelOnly="1" grandCol="1" outline="0" fieldPosition="0"/>
    </format>
    <format dxfId="128">
      <pivotArea dataOnly="0" labelOnly="1" fieldPosition="0">
        <references count="1">
          <reference field="1" count="0"/>
        </references>
      </pivotArea>
    </format>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4" type="button" dataOnly="0" labelOnly="1" outline="0" axis="axisCol" fieldPosition="0"/>
    </format>
    <format dxfId="123">
      <pivotArea type="topRight" dataOnly="0" labelOnly="1" outline="0" fieldPosition="0"/>
    </format>
    <format dxfId="122">
      <pivotArea field="1" type="button" dataOnly="0" labelOnly="1" outline="0" axis="axisRow" fieldPosition="0"/>
    </format>
    <format dxfId="121">
      <pivotArea dataOnly="0" labelOnly="1" fieldPosition="0">
        <references count="1">
          <reference field="1" count="0"/>
        </references>
      </pivotArea>
    </format>
    <format dxfId="120">
      <pivotArea dataOnly="0" labelOnly="1" grandRow="1" outline="0" fieldPosition="0"/>
    </format>
    <format dxfId="119">
      <pivotArea dataOnly="0" labelOnly="1" fieldPosition="0">
        <references count="1">
          <reference field="4" count="0"/>
        </references>
      </pivotArea>
    </format>
    <format dxfId="118">
      <pivotArea dataOnly="0" labelOnly="1" grandCol="1" outline="0" fieldPosition="0"/>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4" type="button" dataOnly="0" labelOnly="1" outline="0" axis="axisCol" fieldPosition="0"/>
    </format>
    <format dxfId="113">
      <pivotArea type="topRight" dataOnly="0" labelOnly="1" outline="0" fieldPosition="0"/>
    </format>
    <format dxfId="112">
      <pivotArea field="1" type="button" dataOnly="0" labelOnly="1" outline="0" axis="axisRow" fieldPosition="0"/>
    </format>
    <format dxfId="111">
      <pivotArea dataOnly="0" labelOnly="1" fieldPosition="0">
        <references count="1">
          <reference field="1" count="0"/>
        </references>
      </pivotArea>
    </format>
    <format dxfId="110">
      <pivotArea dataOnly="0" labelOnly="1" grandRow="1" outline="0" fieldPosition="0"/>
    </format>
    <format dxfId="109">
      <pivotArea dataOnly="0" labelOnly="1" fieldPosition="0">
        <references count="1">
          <reference field="4" count="0"/>
        </references>
      </pivotArea>
    </format>
    <format dxfId="108">
      <pivotArea dataOnly="0" labelOnly="1" grandCol="1" outline="0"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4" type="button" dataOnly="0" labelOnly="1" outline="0" axis="axisCol" fieldPosition="0"/>
    </format>
    <format dxfId="103">
      <pivotArea type="topRight" dataOnly="0" labelOnly="1" outline="0" fieldPosition="0"/>
    </format>
    <format dxfId="102">
      <pivotArea field="1" type="button" dataOnly="0" labelOnly="1" outline="0" axis="axisRow" fieldPosition="0"/>
    </format>
    <format dxfId="101">
      <pivotArea dataOnly="0" labelOnly="1" fieldPosition="0">
        <references count="1">
          <reference field="1" count="0"/>
        </references>
      </pivotArea>
    </format>
    <format dxfId="100">
      <pivotArea dataOnly="0" labelOnly="1" grandRow="1" outline="0" fieldPosition="0"/>
    </format>
    <format dxfId="99">
      <pivotArea dataOnly="0" labelOnly="1" fieldPosition="0">
        <references count="1">
          <reference field="4" count="0"/>
        </references>
      </pivotArea>
    </format>
    <format dxfId="98">
      <pivotArea dataOnly="0" labelOnly="1" grandCol="1" outline="0"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4" type="button" dataOnly="0" labelOnly="1" outline="0" axis="axisCol" fieldPosition="0"/>
    </format>
    <format dxfId="93">
      <pivotArea type="topRight" dataOnly="0" labelOnly="1" outline="0"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grandRow="1" outline="0" fieldPosition="0"/>
    </format>
    <format dxfId="89">
      <pivotArea dataOnly="0" labelOnly="1" fieldPosition="0">
        <references count="1">
          <reference field="4" count="0"/>
        </references>
      </pivotArea>
    </format>
    <format dxfId="88">
      <pivotArea dataOnly="0" labelOnly="1" grandCol="1" outline="0" fieldPosition="0"/>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4" type="button" dataOnly="0" labelOnly="1" outline="0" axis="axisCol" fieldPosition="0"/>
    </format>
    <format dxfId="83">
      <pivotArea type="topRight" dataOnly="0" labelOnly="1" outline="0"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dataOnly="0" labelOnly="1" fieldPosition="0">
        <references count="1">
          <reference field="4" count="0"/>
        </references>
      </pivotArea>
    </format>
    <format dxfId="78">
      <pivotArea dataOnly="0" labelOnly="1" grandCol="1" outline="0" fieldPosition="0"/>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4" type="button" dataOnly="0" labelOnly="1" outline="0" axis="axisCol" fieldPosition="0"/>
    </format>
    <format dxfId="73">
      <pivotArea type="topRight" dataOnly="0" labelOnly="1" outline="0"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fieldPosition="0">
        <references count="1">
          <reference field="4" count="0"/>
        </references>
      </pivotArea>
    </format>
    <format dxfId="68">
      <pivotArea dataOnly="0" labelOnly="1" grandCol="1" outline="0" fieldPosition="0"/>
    </format>
    <format dxfId="67">
      <pivotArea type="origin" dataOnly="0" labelOnly="1" outline="0"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8131B3-3FD6-4A09-B5FB-C96D9F88F72A}" name="CRF_35" displayName="CRF_35" ref="A2:T72" totalsRowShown="0" headerRowDxfId="287" dataDxfId="285" headerRowBorderDxfId="286" tableBorderDxfId="284">
  <autoFilter ref="A2:T72" xr:uid="{A38131B3-3FD6-4A09-B5FB-C96D9F88F72A}">
    <filterColumn colId="0" hiddenButton="1"/>
  </autoFilter>
  <tableColumns count="20">
    <tableColumn id="1" xr3:uid="{B7CCEC9B-2292-4585-818C-6F3251E83E00}" name="Month" dataDxfId="283" totalsRowDxfId="282"/>
    <tableColumn id="2" xr3:uid="{5CF93129-56B0-49DF-B9DD-A3E58B68DB9A}" name="Client Name" dataDxfId="281" totalsRowDxfId="280"/>
    <tableColumn id="3" xr3:uid="{303C76AE-7431-4A5E-85FC-4473C4A42AE2}" name="Partner Name" dataDxfId="279" totalsRowDxfId="278"/>
    <tableColumn id="4" xr3:uid="{F5F63B34-F388-4F24-A3AA-C7C8593DEAEE}" name="Conversation#" dataDxfId="277" totalsRowDxfId="276"/>
    <tableColumn id="6" xr3:uid="{334449CD-B9C7-4A01-8861-223B2ECB0367}" name="Change Requested By" dataDxfId="275" totalsRowDxfId="274"/>
    <tableColumn id="7" xr3:uid="{E3A8C9E5-DFCC-4B43-86D3-DBBE05E65FAB}" name="Change Request Date" dataDxfId="273" totalsRowDxfId="272"/>
    <tableColumn id="8" xr3:uid="{E1468969-F863-415B-9CD7-53D2202F443B}" name="Category" dataDxfId="271" totalsRowDxfId="270"/>
    <tableColumn id="10" xr3:uid="{FEFA3632-1DB2-4B97-BB4B-BC15F6D00B23}" name="Reason for Raising" dataDxfId="269" totalsRowDxfId="268"/>
    <tableColumn id="9" xr3:uid="{4BAA6F70-7B58-4681-8AAC-CCFCA342BDB5}" name="Change Request" dataDxfId="267" totalsRowDxfId="266"/>
    <tableColumn id="11" xr3:uid="{6E649F99-92D9-4628-A26D-829D1A9BF4B6}" name="Time Spent on Configuration" dataDxfId="265" totalsRowDxfId="264"/>
    <tableColumn id="5" xr3:uid="{48927E82-FFD8-4163-B434-584AF7BCD13A}" name="Time Spent on Review/Testing" dataDxfId="263" totalsRowDxfId="262"/>
    <tableColumn id="18" xr3:uid="{F51C152E-C778-45E3-BB4F-35143E5715B0}" name="Total Time" dataDxfId="261">
      <calculatedColumnFormula>CRF_35[[#This Row],[Time Spent on Configuration]]+CRF_35[[#This Row],[Time Spent on Review/Testing]]</calculatedColumnFormula>
    </tableColumn>
    <tableColumn id="12" xr3:uid="{2E9E312C-1B7D-47B6-B466-7268271846D7}" name="No. of Errors" dataDxfId="260" totalsRowDxfId="259"/>
    <tableColumn id="13" xr3:uid="{6FC14312-55D9-4790-BCEB-3B2E0CE38941}" name="Configuration Analyst" dataDxfId="258" totalsRowDxfId="257"/>
    <tableColumn id="19" xr3:uid="{898C0692-6E1B-49AC-A418-0FB863995D0D}" name="Review/Testing Analyst" dataDxfId="256" totalsRowDxfId="255"/>
    <tableColumn id="14" xr3:uid="{97069BFB-D49F-4326-AE67-BF89B02E9277}" name="Implementation Manager/CRM" dataDxfId="254" totalsRowDxfId="253"/>
    <tableColumn id="15" xr3:uid="{B96CE13F-74BC-49BD-B616-44599528D062}" name="Completed Date" dataDxfId="252" totalsRowDxfId="251"/>
    <tableColumn id="17" xr3:uid="{0B96AA40-D814-44E6-A9ED-D49A8B132C99}" name="Rating" dataDxfId="250" totalsRowDxfId="249"/>
    <tableColumn id="20" xr3:uid="{36BFC011-A0C5-4139-98CD-6356DCF07B19}" name="Comments" dataDxfId="248" totalsRowDxfId="247"/>
    <tableColumn id="21" xr3:uid="{C5918B8E-5542-439D-A2CF-43778E2DE948}" name="Billable/Non Billable" dataDxfId="246" totalsRowDxfId="2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423AA4-3294-4AC4-9221-1D044CB4ECCE}" name="CRF_3" displayName="CRF_3" ref="A2:T155" totalsRowShown="0" headerRowDxfId="244" dataDxfId="242" headerRowBorderDxfId="243" tableBorderDxfId="241">
  <autoFilter ref="A2:T155" xr:uid="{13423AA4-3294-4AC4-9221-1D044CB4ECCE}">
    <filterColumn colId="1">
      <filters>
        <filter val="Iowa City Community School District"/>
      </filters>
    </filterColumn>
  </autoFilter>
  <tableColumns count="20">
    <tableColumn id="1" xr3:uid="{959C5C69-77DF-4893-BC24-E95B6330452E}" name="Month" dataDxfId="240" totalsRowDxfId="239"/>
    <tableColumn id="2" xr3:uid="{2A231250-6567-4394-9157-80006B6ECC76}" name="Client Name" dataDxfId="238" totalsRowDxfId="237"/>
    <tableColumn id="3" xr3:uid="{2738BBEA-79DC-4CD2-B860-03AB0211C018}" name="Partner Name" dataDxfId="236" totalsRowDxfId="235"/>
    <tableColumn id="4" xr3:uid="{A9FCE92B-97E4-443B-ACB1-AE97AF69A209}" name="Conversation#" dataDxfId="234" totalsRowDxfId="233"/>
    <tableColumn id="6" xr3:uid="{B3820C23-470D-4457-9893-AE12BFB33C32}" name="Change Requested By" dataDxfId="232" totalsRowDxfId="231"/>
    <tableColumn id="7" xr3:uid="{48D9F5C7-6C9E-47D3-8FB5-5254E60D0172}" name="Change Request Date" dataDxfId="230" totalsRowDxfId="229"/>
    <tableColumn id="8" xr3:uid="{4EC568EC-BE00-4CA4-981E-F804F4586E01}" name="Category" dataDxfId="228" totalsRowDxfId="227"/>
    <tableColumn id="10" xr3:uid="{1F623B51-FD2B-439D-9948-2CDE1E74D601}" name="Reason for Raising" dataDxfId="226" totalsRowDxfId="225"/>
    <tableColumn id="9" xr3:uid="{FFD89A58-F94F-4FA0-8C81-C3994B4753D6}" name="Change Request" dataDxfId="224" totalsRowDxfId="223"/>
    <tableColumn id="11" xr3:uid="{D54B51BC-53F9-44AB-988B-B28AB4601D43}" name="Time Spent on Configuration" dataDxfId="222" totalsRowDxfId="221"/>
    <tableColumn id="5" xr3:uid="{3BCD3747-B85B-4179-B676-0751F3B4E009}" name="Time Spent on Review/Testing" dataDxfId="220" totalsRowDxfId="219"/>
    <tableColumn id="18" xr3:uid="{BBC2D650-D80A-4BEA-95B6-29586AA83C05}" name="Total Time" dataDxfId="218">
      <calculatedColumnFormula>CRF_3[[#This Row],[Time Spent on Configuration]]+CRF_3[[#This Row],[Time Spent on Review/Testing]]</calculatedColumnFormula>
    </tableColumn>
    <tableColumn id="12" xr3:uid="{882101A5-A778-429B-8448-D1506FB33775}" name="No. of Errors" dataDxfId="217" totalsRowDxfId="216"/>
    <tableColumn id="13" xr3:uid="{1E2C7E8B-D638-46B5-8CF6-91DC0AE6F931}" name="Configuration Analyst" dataDxfId="215" totalsRowDxfId="214"/>
    <tableColumn id="19" xr3:uid="{BF2C95C4-2C5C-44CD-A638-5E0CD27ECA91}" name="Review/Testing Analyst" dataDxfId="213" totalsRowDxfId="212"/>
    <tableColumn id="14" xr3:uid="{7ADD76C9-352C-463C-9F22-C47CBFE714EB}" name="Implementation Manager/CRM" dataDxfId="211" totalsRowDxfId="210"/>
    <tableColumn id="15" xr3:uid="{E05A20DF-EB2C-4CE9-AEE4-7E97E5DD0BE6}" name="Completed Date" dataDxfId="209" totalsRowDxfId="208"/>
    <tableColumn id="17" xr3:uid="{E2CD86EF-481E-43E4-A69D-1D09A0807DAC}" name="Rating" dataDxfId="207" totalsRowDxfId="206"/>
    <tableColumn id="20" xr3:uid="{076346DA-D0F3-44C5-9942-CBE7515FF93C}" name="Comments" dataDxfId="205" totalsRowDxfId="204"/>
    <tableColumn id="21" xr3:uid="{1831A833-0582-4201-A927-2637847A7242}" name="Billable/Non Billable" dataDxfId="203" totalsRowDxfId="20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RF" displayName="CRF" ref="A2:T149" totalsRowShown="0" headerRowDxfId="201" dataDxfId="199" headerRowBorderDxfId="200" tableBorderDxfId="198">
  <autoFilter ref="A2:T149" xr:uid="{00000000-000C-0000-FFFF-FFFF00000000}"/>
  <tableColumns count="20">
    <tableColumn id="1" xr3:uid="{00000000-0010-0000-0000-000001000000}" name="Month" dataDxfId="197" totalsRowDxfId="196"/>
    <tableColumn id="2" xr3:uid="{00000000-0010-0000-0000-000002000000}" name="Client Name" dataDxfId="195" totalsRowDxfId="194"/>
    <tableColumn id="3" xr3:uid="{00000000-0010-0000-0000-000003000000}" name="Partner Name" dataDxfId="193" totalsRowDxfId="192"/>
    <tableColumn id="4" xr3:uid="{00000000-0010-0000-0000-000004000000}" name="Conversation#" dataDxfId="191" totalsRowDxfId="190"/>
    <tableColumn id="6" xr3:uid="{00000000-0010-0000-0000-000006000000}" name="Change Requested By" dataDxfId="189" totalsRowDxfId="188"/>
    <tableColumn id="7" xr3:uid="{00000000-0010-0000-0000-000007000000}" name="Change Request Date" dataDxfId="187" totalsRowDxfId="186"/>
    <tableColumn id="8" xr3:uid="{00000000-0010-0000-0000-000008000000}" name="Category" dataDxfId="185" totalsRowDxfId="184"/>
    <tableColumn id="10" xr3:uid="{00000000-0010-0000-0000-00000A000000}" name="Reason for Raising" dataDxfId="183" totalsRowDxfId="182"/>
    <tableColumn id="9" xr3:uid="{00000000-0010-0000-0000-000009000000}" name="Change Request" dataDxfId="181" totalsRowDxfId="180"/>
    <tableColumn id="11" xr3:uid="{00000000-0010-0000-0000-00000B000000}" name="Time Spent on Configuration" dataDxfId="179" totalsRowDxfId="178"/>
    <tableColumn id="5" xr3:uid="{9614B65D-7A34-4E4A-A88E-EC7E52E5CCB9}" name="Time Spent on Review/Testing" dataDxfId="177" totalsRowDxfId="176"/>
    <tableColumn id="18" xr3:uid="{7FA87A0F-DD2E-4E7F-8140-CCD67F60614D}" name="Total Time" dataDxfId="175">
      <calculatedColumnFormula>CRF[[#This Row],[Time Spent on Configuration]]+CRF[[#This Row],[Time Spent on Review/Testing]]</calculatedColumnFormula>
    </tableColumn>
    <tableColumn id="12" xr3:uid="{00000000-0010-0000-0000-00000C000000}" name="No. of Errors" dataDxfId="174" totalsRowDxfId="173"/>
    <tableColumn id="13" xr3:uid="{00000000-0010-0000-0000-00000D000000}" name="Configuration Analyst" dataDxfId="172" totalsRowDxfId="171"/>
    <tableColumn id="19" xr3:uid="{7319566E-A03D-4A4A-82A6-F471F72C060E}" name="Review/Testing Analyst" dataDxfId="170" totalsRowDxfId="169"/>
    <tableColumn id="14" xr3:uid="{00000000-0010-0000-0000-00000E000000}" name="Implementation Manager/CRM" dataDxfId="168" totalsRowDxfId="167"/>
    <tableColumn id="15" xr3:uid="{00000000-0010-0000-0000-00000F000000}" name="Completed Date" dataDxfId="166" totalsRowDxfId="165"/>
    <tableColumn id="17" xr3:uid="{4B5998A6-7B46-404A-9678-FFC344E266DC}" name="Rating" dataDxfId="164" totalsRowDxfId="163"/>
    <tableColumn id="20" xr3:uid="{86335056-5EFA-4FC8-BFA0-7A4D02CB4D39}" name="Comments" dataDxfId="162" totalsRowDxfId="161"/>
    <tableColumn id="21" xr3:uid="{C2AD568C-BB3B-41D3-A9A8-79394AE6AFAD}" name="Billable/Non Billable" dataDxfId="160" totalsRowDxfId="15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fj.teamwork.com/app/messages/1221422?scrollTo=4276773" TargetMode="External"/><Relationship Id="rId1" Type="http://schemas.openxmlformats.org/officeDocument/2006/relationships/hyperlink" Target="https://wfj.teamwork.com/"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3877-DB3C-4051-9B58-244C9D810BEB}">
  <dimension ref="A1:U72"/>
  <sheetViews>
    <sheetView tabSelected="1" workbookViewId="0">
      <selection activeCell="A2" sqref="A2"/>
    </sheetView>
  </sheetViews>
  <sheetFormatPr defaultColWidth="9.109375" defaultRowHeight="14.4" x14ac:dyDescent="0.3"/>
  <cols>
    <col min="1" max="1" width="10.88671875" style="16" bestFit="1" customWidth="1"/>
    <col min="2" max="2" width="24.6640625" style="17" customWidth="1"/>
    <col min="3" max="3" width="13.5546875" style="16" customWidth="1"/>
    <col min="4" max="4" width="13.109375" style="16" customWidth="1"/>
    <col min="5" max="5" width="13.33203125" style="16" customWidth="1"/>
    <col min="6" max="6" width="14.88671875" style="16" customWidth="1"/>
    <col min="7" max="7" width="13.33203125" style="16" customWidth="1"/>
    <col min="8" max="8" width="66" customWidth="1"/>
    <col min="9" max="9" width="53" style="17" customWidth="1"/>
    <col min="10" max="10" width="13.88671875" style="17" bestFit="1" customWidth="1"/>
    <col min="11" max="11" width="17.33203125" style="16" bestFit="1" customWidth="1"/>
    <col min="12" max="12" width="10.33203125" style="16" bestFit="1" customWidth="1"/>
    <col min="13" max="13" width="6.44140625" style="16" bestFit="1" customWidth="1"/>
    <col min="14" max="14" width="13.33203125" style="16" customWidth="1"/>
    <col min="15" max="15" width="15" style="16" bestFit="1" customWidth="1"/>
    <col min="16" max="16" width="15.5546875" style="16" customWidth="1"/>
    <col min="17" max="17" width="15.5546875" style="16" bestFit="1" customWidth="1"/>
    <col min="18" max="18" width="8.88671875" style="16" bestFit="1" customWidth="1"/>
    <col min="19" max="19" width="11" style="16" customWidth="1"/>
    <col min="20" max="16384" width="9.109375" style="16"/>
  </cols>
  <sheetData>
    <row r="1" spans="1:21" s="15" customFormat="1" x14ac:dyDescent="0.3">
      <c r="A1" s="12" t="s">
        <v>0</v>
      </c>
      <c r="B1" s="13"/>
      <c r="C1" s="13"/>
      <c r="D1" s="13"/>
      <c r="E1" s="13"/>
      <c r="F1" s="13"/>
      <c r="G1" s="13"/>
      <c r="H1" s="14"/>
      <c r="I1" s="14"/>
      <c r="J1" s="13"/>
      <c r="K1" s="13"/>
      <c r="L1" s="13"/>
      <c r="M1" s="13"/>
      <c r="N1" s="13"/>
      <c r="O1" s="13"/>
      <c r="P1" s="13"/>
      <c r="Q1" s="13"/>
      <c r="R1" s="30"/>
      <c r="S1" s="30"/>
      <c r="T1" s="30"/>
      <c r="U1" s="11"/>
    </row>
    <row r="2" spans="1:21" s="15" customFormat="1" ht="43.2" x14ac:dyDescent="0.3">
      <c r="A2" s="18" t="s">
        <v>1</v>
      </c>
      <c r="B2" s="18" t="s">
        <v>2</v>
      </c>
      <c r="C2" s="18" t="s">
        <v>3</v>
      </c>
      <c r="D2" s="18" t="s">
        <v>4</v>
      </c>
      <c r="E2" s="18" t="s">
        <v>5</v>
      </c>
      <c r="F2" s="18" t="s">
        <v>6</v>
      </c>
      <c r="G2" s="18" t="s">
        <v>7</v>
      </c>
      <c r="H2" s="18" t="s">
        <v>8</v>
      </c>
      <c r="I2" s="18" t="s">
        <v>9</v>
      </c>
      <c r="J2" s="18" t="s">
        <v>10</v>
      </c>
      <c r="K2" s="18" t="s">
        <v>11</v>
      </c>
      <c r="L2" s="18" t="s">
        <v>12</v>
      </c>
      <c r="M2" s="18" t="s">
        <v>13</v>
      </c>
      <c r="N2" s="18" t="s">
        <v>14</v>
      </c>
      <c r="O2" s="18" t="s">
        <v>15</v>
      </c>
      <c r="P2" s="18" t="s">
        <v>16</v>
      </c>
      <c r="Q2" s="18" t="s">
        <v>17</v>
      </c>
      <c r="R2" s="31" t="s">
        <v>18</v>
      </c>
      <c r="S2" s="32" t="s">
        <v>19</v>
      </c>
      <c r="T2" s="33" t="s">
        <v>20</v>
      </c>
      <c r="U2" s="11"/>
    </row>
    <row r="3" spans="1:21" ht="129.6" x14ac:dyDescent="0.3">
      <c r="A3" s="16" t="s">
        <v>21</v>
      </c>
      <c r="B3" s="16" t="s">
        <v>22</v>
      </c>
      <c r="C3" s="16" t="s">
        <v>23</v>
      </c>
      <c r="D3" s="16">
        <v>468993</v>
      </c>
      <c r="E3" s="16" t="s">
        <v>24</v>
      </c>
      <c r="F3" s="24">
        <v>46191</v>
      </c>
      <c r="G3" s="24" t="s">
        <v>25</v>
      </c>
      <c r="H3" s="17" t="s">
        <v>26</v>
      </c>
      <c r="I3" s="17" t="s">
        <v>27</v>
      </c>
      <c r="J3" s="19">
        <v>4.1666666666666664E-2</v>
      </c>
      <c r="K3" s="19">
        <v>4.1666666666666664E-2</v>
      </c>
      <c r="L3" s="21">
        <f>CRF_35[[#This Row],[Time Spent on Configuration]]+CRF_35[[#This Row],[Time Spent on Review/Testing]]</f>
        <v>8.3333333333333329E-2</v>
      </c>
      <c r="N3" s="16" t="s">
        <v>28</v>
      </c>
      <c r="O3" s="16" t="s">
        <v>29</v>
      </c>
      <c r="P3" s="16" t="s">
        <v>30</v>
      </c>
      <c r="Q3" s="24">
        <v>46191</v>
      </c>
      <c r="R3" s="16">
        <v>5</v>
      </c>
    </row>
    <row r="4" spans="1:21" ht="345.6" x14ac:dyDescent="0.3">
      <c r="A4" s="16" t="s">
        <v>31</v>
      </c>
      <c r="B4" s="16" t="s">
        <v>32</v>
      </c>
      <c r="C4" s="16" t="s">
        <v>23</v>
      </c>
      <c r="D4" s="16" t="s">
        <v>33</v>
      </c>
      <c r="E4" s="16" t="s">
        <v>24</v>
      </c>
      <c r="F4" s="24">
        <v>46041</v>
      </c>
      <c r="G4" s="24" t="s">
        <v>25</v>
      </c>
      <c r="H4" s="17" t="s">
        <v>34</v>
      </c>
      <c r="I4" s="17" t="s">
        <v>35</v>
      </c>
      <c r="J4" s="19">
        <v>2.0833333333333332E-2</v>
      </c>
      <c r="K4" s="19">
        <v>4.1666666666666664E-2</v>
      </c>
      <c r="L4" s="21">
        <f>CRF_35[[#This Row],[Time Spent on Configuration]]+CRF_35[[#This Row],[Time Spent on Review/Testing]]</f>
        <v>6.25E-2</v>
      </c>
      <c r="N4" s="16" t="s">
        <v>36</v>
      </c>
      <c r="O4" s="16" t="s">
        <v>37</v>
      </c>
      <c r="P4" s="16" t="s">
        <v>38</v>
      </c>
      <c r="Q4" s="24">
        <v>46041</v>
      </c>
      <c r="R4" s="16">
        <v>4</v>
      </c>
    </row>
    <row r="5" spans="1:21" ht="28.8" x14ac:dyDescent="0.3">
      <c r="A5" s="16" t="s">
        <v>31</v>
      </c>
      <c r="B5" s="16" t="s">
        <v>39</v>
      </c>
      <c r="C5" s="16" t="s">
        <v>23</v>
      </c>
      <c r="D5" s="16">
        <v>449974</v>
      </c>
      <c r="E5" s="16" t="s">
        <v>40</v>
      </c>
      <c r="F5" s="24">
        <v>46049</v>
      </c>
      <c r="G5" s="24" t="s">
        <v>25</v>
      </c>
      <c r="H5" s="17" t="s">
        <v>41</v>
      </c>
      <c r="I5" s="17" t="s">
        <v>42</v>
      </c>
      <c r="J5" s="19">
        <v>1.1805555555555555E-2</v>
      </c>
      <c r="K5" s="19">
        <v>8.3333333333333329E-2</v>
      </c>
      <c r="L5" s="21">
        <f>CRF_35[[#This Row],[Time Spent on Configuration]]+CRF_35[[#This Row],[Time Spent on Review/Testing]]</f>
        <v>9.5138888888888884E-2</v>
      </c>
      <c r="N5" s="16" t="s">
        <v>43</v>
      </c>
      <c r="O5" s="16" t="s">
        <v>37</v>
      </c>
      <c r="P5" s="16" t="s">
        <v>38</v>
      </c>
      <c r="Q5" s="24">
        <v>46049</v>
      </c>
      <c r="R5" s="16">
        <v>5</v>
      </c>
    </row>
    <row r="6" spans="1:21" ht="409.6" x14ac:dyDescent="0.3">
      <c r="A6" s="16" t="s">
        <v>31</v>
      </c>
      <c r="B6" s="16" t="s">
        <v>44</v>
      </c>
      <c r="C6" s="16" t="s">
        <v>45</v>
      </c>
      <c r="D6" s="16">
        <v>453137</v>
      </c>
      <c r="E6" s="16" t="s">
        <v>40</v>
      </c>
      <c r="F6" s="24">
        <v>46052</v>
      </c>
      <c r="G6" s="24" t="s">
        <v>46</v>
      </c>
      <c r="H6" s="17" t="s">
        <v>47</v>
      </c>
      <c r="I6" s="17" t="s">
        <v>48</v>
      </c>
      <c r="J6" s="19">
        <v>4.1666666666666664E-2</v>
      </c>
      <c r="K6" s="19">
        <v>0.10416666666666667</v>
      </c>
      <c r="L6" s="21">
        <f>CRF_35[[#This Row],[Time Spent on Configuration]]+CRF_35[[#This Row],[Time Spent on Review/Testing]]</f>
        <v>0.14583333333333334</v>
      </c>
      <c r="N6" s="16" t="s">
        <v>43</v>
      </c>
      <c r="O6" s="16" t="s">
        <v>37</v>
      </c>
      <c r="P6" s="16" t="s">
        <v>38</v>
      </c>
      <c r="Q6" s="24">
        <v>46052</v>
      </c>
      <c r="R6" s="16">
        <v>5</v>
      </c>
    </row>
    <row r="7" spans="1:21" ht="86.4" x14ac:dyDescent="0.3">
      <c r="A7" s="16" t="s">
        <v>49</v>
      </c>
      <c r="B7" s="16" t="s">
        <v>50</v>
      </c>
      <c r="C7" s="16" t="s">
        <v>23</v>
      </c>
      <c r="D7" s="16">
        <v>454902</v>
      </c>
      <c r="E7" s="16" t="s">
        <v>24</v>
      </c>
      <c r="F7" s="24">
        <v>46069</v>
      </c>
      <c r="G7" s="24" t="s">
        <v>46</v>
      </c>
      <c r="H7" s="17" t="s">
        <v>51</v>
      </c>
      <c r="I7" s="17" t="s">
        <v>52</v>
      </c>
      <c r="J7" s="19">
        <v>6.9444444444444441E-3</v>
      </c>
      <c r="K7" s="19">
        <v>4.1666666666666664E-2</v>
      </c>
      <c r="L7" s="21">
        <f>CRF_35[[#This Row],[Time Spent on Configuration]]+CRF_35[[#This Row],[Time Spent on Review/Testing]]</f>
        <v>4.8611111111111105E-2</v>
      </c>
      <c r="N7" s="16" t="s">
        <v>43</v>
      </c>
      <c r="O7" s="16" t="s">
        <v>29</v>
      </c>
      <c r="P7" s="16" t="s">
        <v>38</v>
      </c>
      <c r="Q7" s="24">
        <v>46069</v>
      </c>
      <c r="R7" s="16">
        <v>5</v>
      </c>
    </row>
    <row r="8" spans="1:21" ht="345.6" x14ac:dyDescent="0.3">
      <c r="A8" s="16" t="s">
        <v>49</v>
      </c>
      <c r="B8" s="16" t="s">
        <v>44</v>
      </c>
      <c r="C8" s="16" t="s">
        <v>45</v>
      </c>
      <c r="D8" s="16">
        <v>455041</v>
      </c>
      <c r="E8" s="16" t="s">
        <v>24</v>
      </c>
      <c r="F8" s="24">
        <v>46071</v>
      </c>
      <c r="G8" s="24" t="s">
        <v>53</v>
      </c>
      <c r="H8" s="17" t="s">
        <v>54</v>
      </c>
      <c r="I8" s="17" t="s">
        <v>55</v>
      </c>
      <c r="J8" s="19">
        <v>7.6388888888888886E-3</v>
      </c>
      <c r="K8" s="19">
        <v>6.25E-2</v>
      </c>
      <c r="L8" s="21">
        <f>CRF_35[[#This Row],[Time Spent on Configuration]]+CRF_35[[#This Row],[Time Spent on Review/Testing]]</f>
        <v>7.013888888888889E-2</v>
      </c>
      <c r="N8" s="16" t="s">
        <v>56</v>
      </c>
      <c r="O8" s="16" t="s">
        <v>29</v>
      </c>
      <c r="P8" s="16" t="s">
        <v>38</v>
      </c>
      <c r="Q8" s="24">
        <v>46071</v>
      </c>
      <c r="R8" s="16">
        <v>5</v>
      </c>
    </row>
    <row r="9" spans="1:21" ht="57.6" x14ac:dyDescent="0.3">
      <c r="A9" s="16" t="s">
        <v>49</v>
      </c>
      <c r="B9" s="16" t="s">
        <v>57</v>
      </c>
      <c r="C9" s="16" t="s">
        <v>58</v>
      </c>
      <c r="D9" s="16">
        <v>455815</v>
      </c>
      <c r="E9" s="16" t="s">
        <v>40</v>
      </c>
      <c r="F9" s="24">
        <v>46077</v>
      </c>
      <c r="G9" s="24" t="s">
        <v>59</v>
      </c>
      <c r="H9" s="17" t="s">
        <v>60</v>
      </c>
      <c r="I9" s="17" t="s">
        <v>61</v>
      </c>
      <c r="J9" s="19">
        <v>1.3888888888888888E-2</v>
      </c>
      <c r="K9" s="19">
        <v>4.8611111111111112E-2</v>
      </c>
      <c r="L9" s="21">
        <f>CRF_35[[#This Row],[Time Spent on Configuration]]+CRF_35[[#This Row],[Time Spent on Review/Testing]]</f>
        <v>6.25E-2</v>
      </c>
      <c r="N9" s="16" t="s">
        <v>28</v>
      </c>
      <c r="O9" s="16" t="s">
        <v>37</v>
      </c>
      <c r="P9" s="16" t="s">
        <v>38</v>
      </c>
      <c r="Q9" s="24">
        <v>46077</v>
      </c>
      <c r="R9" s="16">
        <v>5</v>
      </c>
    </row>
    <row r="10" spans="1:21" ht="86.4" x14ac:dyDescent="0.3">
      <c r="A10" s="16" t="s">
        <v>49</v>
      </c>
      <c r="B10" s="16" t="s">
        <v>50</v>
      </c>
      <c r="C10" s="16" t="s">
        <v>23</v>
      </c>
      <c r="D10" s="16">
        <v>455533</v>
      </c>
      <c r="E10" s="16" t="s">
        <v>40</v>
      </c>
      <c r="F10" s="24">
        <v>46077</v>
      </c>
      <c r="G10" s="24" t="s">
        <v>62</v>
      </c>
      <c r="H10" s="17" t="s">
        <v>63</v>
      </c>
      <c r="I10" s="17" t="s">
        <v>64</v>
      </c>
      <c r="J10" s="19">
        <v>1.3888888888888888E-2</v>
      </c>
      <c r="K10" s="19">
        <v>6.25E-2</v>
      </c>
      <c r="L10" s="21">
        <f>CRF_35[[#This Row],[Time Spent on Configuration]]+CRF_35[[#This Row],[Time Spent on Review/Testing]]</f>
        <v>7.6388888888888895E-2</v>
      </c>
      <c r="N10" s="16" t="s">
        <v>43</v>
      </c>
      <c r="O10" s="16" t="s">
        <v>37</v>
      </c>
      <c r="P10" s="16" t="s">
        <v>38</v>
      </c>
      <c r="Q10" s="24">
        <v>46077</v>
      </c>
      <c r="R10" s="16">
        <v>5</v>
      </c>
    </row>
    <row r="11" spans="1:21" ht="86.4" x14ac:dyDescent="0.3">
      <c r="A11" s="16" t="s">
        <v>65</v>
      </c>
      <c r="B11" s="16" t="s">
        <v>66</v>
      </c>
      <c r="C11" s="16" t="s">
        <v>67</v>
      </c>
      <c r="D11" s="16">
        <v>455698</v>
      </c>
      <c r="E11" s="16" t="s">
        <v>24</v>
      </c>
      <c r="F11" s="24">
        <v>46091</v>
      </c>
      <c r="G11" s="24" t="s">
        <v>25</v>
      </c>
      <c r="H11" s="17" t="s">
        <v>68</v>
      </c>
      <c r="I11" s="17" t="s">
        <v>69</v>
      </c>
      <c r="J11" s="19">
        <v>1.3888888888888888E-2</v>
      </c>
      <c r="K11" s="19">
        <v>7.6388888888888895E-2</v>
      </c>
      <c r="L11" s="21">
        <f>CRF_35[[#This Row],[Time Spent on Configuration]]+CRF_35[[#This Row],[Time Spent on Review/Testing]]</f>
        <v>9.027777777777779E-2</v>
      </c>
      <c r="N11" s="16" t="s">
        <v>56</v>
      </c>
      <c r="O11" s="16" t="s">
        <v>37</v>
      </c>
      <c r="P11" s="16" t="s">
        <v>38</v>
      </c>
      <c r="Q11" s="24">
        <v>46091</v>
      </c>
      <c r="R11" s="16">
        <v>5</v>
      </c>
    </row>
    <row r="12" spans="1:21" ht="129.6" x14ac:dyDescent="0.3">
      <c r="A12" s="16" t="s">
        <v>65</v>
      </c>
      <c r="B12" s="16" t="s">
        <v>57</v>
      </c>
      <c r="C12" s="16" t="s">
        <v>58</v>
      </c>
      <c r="D12" s="16">
        <v>454757</v>
      </c>
      <c r="E12" s="16" t="s">
        <v>40</v>
      </c>
      <c r="F12" s="24">
        <v>46094</v>
      </c>
      <c r="G12" s="24" t="s">
        <v>70</v>
      </c>
      <c r="H12" s="17" t="s">
        <v>71</v>
      </c>
      <c r="I12" s="17" t="s">
        <v>72</v>
      </c>
      <c r="J12" s="19">
        <v>1.3888888888888888E-2</v>
      </c>
      <c r="K12" s="19">
        <v>6.25E-2</v>
      </c>
      <c r="L12" s="21">
        <f>CRF_35[[#This Row],[Time Spent on Configuration]]+CRF_35[[#This Row],[Time Spent on Review/Testing]]</f>
        <v>7.6388888888888895E-2</v>
      </c>
      <c r="N12" s="16" t="s">
        <v>56</v>
      </c>
      <c r="O12" s="16" t="s">
        <v>37</v>
      </c>
      <c r="P12" s="16" t="s">
        <v>38</v>
      </c>
      <c r="Q12" s="24">
        <v>46094</v>
      </c>
      <c r="R12" s="16">
        <v>5</v>
      </c>
    </row>
    <row r="13" spans="1:21" ht="86.4" x14ac:dyDescent="0.3">
      <c r="A13" s="16" t="s">
        <v>65</v>
      </c>
      <c r="B13" s="16" t="s">
        <v>32</v>
      </c>
      <c r="C13" s="16" t="s">
        <v>23</v>
      </c>
      <c r="D13" s="16">
        <v>459515</v>
      </c>
      <c r="E13" s="16" t="s">
        <v>24</v>
      </c>
      <c r="F13" s="24">
        <v>46107</v>
      </c>
      <c r="G13" s="24" t="s">
        <v>25</v>
      </c>
      <c r="H13" s="17" t="s">
        <v>73</v>
      </c>
      <c r="I13" s="17" t="s">
        <v>74</v>
      </c>
      <c r="J13" s="19">
        <v>6.9444444444444441E-3</v>
      </c>
      <c r="K13" s="19">
        <v>6.25E-2</v>
      </c>
      <c r="L13" s="21">
        <f>CRF_35[[#This Row],[Time Spent on Configuration]]+CRF_35[[#This Row],[Time Spent on Review/Testing]]</f>
        <v>6.9444444444444448E-2</v>
      </c>
      <c r="N13" s="16" t="s">
        <v>43</v>
      </c>
      <c r="O13" s="16" t="s">
        <v>37</v>
      </c>
      <c r="P13" s="16" t="s">
        <v>38</v>
      </c>
      <c r="Q13" s="24">
        <v>46107</v>
      </c>
      <c r="R13" s="16">
        <v>5</v>
      </c>
    </row>
    <row r="14" spans="1:21" ht="115.2" x14ac:dyDescent="0.3">
      <c r="A14" s="16" t="s">
        <v>65</v>
      </c>
      <c r="B14" s="16" t="s">
        <v>22</v>
      </c>
      <c r="C14" s="16" t="s">
        <v>23</v>
      </c>
      <c r="D14" s="16">
        <v>457114</v>
      </c>
      <c r="E14" s="16" t="s">
        <v>24</v>
      </c>
      <c r="F14" s="24">
        <v>46108</v>
      </c>
      <c r="G14" s="24" t="s">
        <v>25</v>
      </c>
      <c r="H14" s="17" t="s">
        <v>75</v>
      </c>
      <c r="I14" s="17" t="s">
        <v>76</v>
      </c>
      <c r="J14" s="19">
        <v>1.0416666666666666E-2</v>
      </c>
      <c r="K14" s="19">
        <v>3.4722222222222224E-2</v>
      </c>
      <c r="L14" s="21">
        <f>CRF_35[[#This Row],[Time Spent on Configuration]]+CRF_35[[#This Row],[Time Spent on Review/Testing]]</f>
        <v>4.5138888888888888E-2</v>
      </c>
      <c r="N14" s="16" t="s">
        <v>43</v>
      </c>
      <c r="O14" s="16" t="s">
        <v>29</v>
      </c>
      <c r="P14" s="16" t="s">
        <v>38</v>
      </c>
      <c r="Q14" s="24">
        <v>46108</v>
      </c>
      <c r="R14" s="16">
        <v>5</v>
      </c>
    </row>
    <row r="15" spans="1:21" ht="86.4" x14ac:dyDescent="0.3">
      <c r="A15" s="16" t="s">
        <v>65</v>
      </c>
      <c r="B15" s="16" t="s">
        <v>32</v>
      </c>
      <c r="C15" s="16" t="s">
        <v>23</v>
      </c>
      <c r="D15" s="16">
        <v>459758</v>
      </c>
      <c r="E15" s="16" t="s">
        <v>24</v>
      </c>
      <c r="F15" s="24">
        <v>46109</v>
      </c>
      <c r="G15" s="24" t="s">
        <v>25</v>
      </c>
      <c r="H15" s="17" t="s">
        <v>77</v>
      </c>
      <c r="I15" s="17" t="s">
        <v>78</v>
      </c>
      <c r="J15" s="19">
        <v>9.0277777777777769E-3</v>
      </c>
      <c r="K15" s="19">
        <v>6.25E-2</v>
      </c>
      <c r="L15" s="21">
        <f>CRF_35[[#This Row],[Time Spent on Configuration]]+CRF_35[[#This Row],[Time Spent on Review/Testing]]</f>
        <v>7.1527777777777773E-2</v>
      </c>
      <c r="N15" s="16" t="s">
        <v>43</v>
      </c>
      <c r="O15" s="16" t="s">
        <v>37</v>
      </c>
      <c r="P15" s="16" t="s">
        <v>38</v>
      </c>
      <c r="Q15" s="24">
        <v>46111</v>
      </c>
      <c r="R15" s="16">
        <v>5</v>
      </c>
    </row>
    <row r="16" spans="1:21" ht="72" x14ac:dyDescent="0.3">
      <c r="A16" s="16" t="s">
        <v>79</v>
      </c>
      <c r="B16" s="16" t="s">
        <v>80</v>
      </c>
      <c r="C16" s="16" t="s">
        <v>23</v>
      </c>
      <c r="D16" s="16">
        <v>464638</v>
      </c>
      <c r="E16" s="16" t="s">
        <v>40</v>
      </c>
      <c r="F16" s="24">
        <v>46149</v>
      </c>
      <c r="G16" s="24" t="s">
        <v>81</v>
      </c>
      <c r="H16" s="17" t="s">
        <v>82</v>
      </c>
      <c r="I16" s="17" t="s">
        <v>83</v>
      </c>
      <c r="J16" s="19">
        <v>1.4583333333333334E-2</v>
      </c>
      <c r="K16" s="19">
        <v>6.25E-2</v>
      </c>
      <c r="L16" s="21">
        <f>CRF_35[[#This Row],[Time Spent on Configuration]]+CRF_35[[#This Row],[Time Spent on Review/Testing]]</f>
        <v>7.7083333333333337E-2</v>
      </c>
      <c r="N16" s="16" t="s">
        <v>56</v>
      </c>
      <c r="O16" s="16" t="s">
        <v>37</v>
      </c>
      <c r="P16" s="16" t="s">
        <v>38</v>
      </c>
      <c r="Q16" s="24">
        <v>46149</v>
      </c>
      <c r="R16" s="16">
        <v>5</v>
      </c>
    </row>
    <row r="17" spans="1:18" ht="115.2" x14ac:dyDescent="0.3">
      <c r="A17" s="16" t="s">
        <v>79</v>
      </c>
      <c r="B17" s="16" t="s">
        <v>84</v>
      </c>
      <c r="C17" s="16" t="s">
        <v>23</v>
      </c>
      <c r="D17" s="16">
        <v>463295</v>
      </c>
      <c r="E17" s="16" t="s">
        <v>24</v>
      </c>
      <c r="F17" s="24">
        <v>46151</v>
      </c>
      <c r="G17" s="24" t="s">
        <v>81</v>
      </c>
      <c r="H17" s="17" t="s">
        <v>85</v>
      </c>
      <c r="I17" s="17" t="s">
        <v>86</v>
      </c>
      <c r="J17" s="19">
        <v>3.125E-2</v>
      </c>
      <c r="K17" s="19">
        <v>3.4722222222222224E-2</v>
      </c>
      <c r="L17" s="21">
        <f>CRF_35[[#This Row],[Time Spent on Configuration]]+CRF_35[[#This Row],[Time Spent on Review/Testing]]</f>
        <v>6.5972222222222224E-2</v>
      </c>
      <c r="N17" s="16" t="s">
        <v>28</v>
      </c>
      <c r="O17" s="16" t="s">
        <v>29</v>
      </c>
      <c r="P17" s="16" t="s">
        <v>38</v>
      </c>
      <c r="Q17" s="24">
        <v>46151</v>
      </c>
      <c r="R17" s="16">
        <v>5</v>
      </c>
    </row>
    <row r="18" spans="1:18" ht="57.6" x14ac:dyDescent="0.3">
      <c r="A18" s="16" t="s">
        <v>79</v>
      </c>
      <c r="B18" s="16" t="s">
        <v>57</v>
      </c>
      <c r="C18" s="16" t="s">
        <v>58</v>
      </c>
      <c r="D18" s="16">
        <v>460191</v>
      </c>
      <c r="E18" s="16" t="s">
        <v>24</v>
      </c>
      <c r="F18" s="24">
        <v>46156</v>
      </c>
      <c r="G18" s="24" t="s">
        <v>87</v>
      </c>
      <c r="H18" s="17" t="s">
        <v>88</v>
      </c>
      <c r="I18" s="17" t="s">
        <v>89</v>
      </c>
      <c r="J18" s="19">
        <v>9.0277777777777769E-3</v>
      </c>
      <c r="K18" s="19">
        <v>2.0833333333333332E-2</v>
      </c>
      <c r="L18" s="21">
        <f>CRF_35[[#This Row],[Time Spent on Configuration]]+CRF_35[[#This Row],[Time Spent on Review/Testing]]</f>
        <v>2.9861111111111109E-2</v>
      </c>
      <c r="N18" s="16" t="s">
        <v>43</v>
      </c>
      <c r="O18" s="16" t="s">
        <v>29</v>
      </c>
      <c r="P18" s="16" t="s">
        <v>38</v>
      </c>
      <c r="Q18" s="24">
        <v>46156</v>
      </c>
      <c r="R18" s="16">
        <v>5</v>
      </c>
    </row>
    <row r="19" spans="1:18" ht="115.2" x14ac:dyDescent="0.3">
      <c r="A19" s="16" t="s">
        <v>79</v>
      </c>
      <c r="B19" s="16" t="s">
        <v>44</v>
      </c>
      <c r="C19" s="16" t="s">
        <v>90</v>
      </c>
      <c r="D19" s="16">
        <v>465401</v>
      </c>
      <c r="E19" s="16" t="s">
        <v>24</v>
      </c>
      <c r="F19" s="24">
        <v>46156</v>
      </c>
      <c r="G19" s="24" t="s">
        <v>87</v>
      </c>
      <c r="H19" s="17" t="s">
        <v>91</v>
      </c>
      <c r="I19" s="17" t="s">
        <v>92</v>
      </c>
      <c r="J19" s="19">
        <v>6.9444444444444441E-3</v>
      </c>
      <c r="K19" s="19">
        <v>2.0833333333333332E-2</v>
      </c>
      <c r="L19" s="21">
        <f>CRF_35[[#This Row],[Time Spent on Configuration]]+CRF_35[[#This Row],[Time Spent on Review/Testing]]</f>
        <v>2.7777777777777776E-2</v>
      </c>
      <c r="N19" s="16" t="s">
        <v>56</v>
      </c>
      <c r="O19" s="16" t="s">
        <v>29</v>
      </c>
      <c r="P19" s="16" t="s">
        <v>38</v>
      </c>
      <c r="Q19" s="24">
        <v>46156</v>
      </c>
      <c r="R19" s="16">
        <v>5</v>
      </c>
    </row>
    <row r="20" spans="1:18" ht="144" x14ac:dyDescent="0.3">
      <c r="A20" s="16" t="s">
        <v>21</v>
      </c>
      <c r="B20" s="16" t="s">
        <v>93</v>
      </c>
      <c r="C20" s="16" t="s">
        <v>23</v>
      </c>
      <c r="D20" s="16">
        <v>460588</v>
      </c>
      <c r="E20" s="16" t="s">
        <v>40</v>
      </c>
      <c r="F20" s="24">
        <v>46178</v>
      </c>
      <c r="G20" s="24" t="s">
        <v>94</v>
      </c>
      <c r="H20" s="17" t="s">
        <v>95</v>
      </c>
      <c r="I20" s="17" t="s">
        <v>96</v>
      </c>
      <c r="J20" s="19">
        <v>3.125E-2</v>
      </c>
      <c r="K20" s="19"/>
      <c r="L20" s="21">
        <f>CRF_35[[#This Row],[Time Spent on Configuration]]+CRF_35[[#This Row],[Time Spent on Review/Testing]]</f>
        <v>3.125E-2</v>
      </c>
      <c r="N20" s="16" t="s">
        <v>28</v>
      </c>
      <c r="P20" s="16" t="s">
        <v>38</v>
      </c>
      <c r="Q20" s="24">
        <v>46178</v>
      </c>
      <c r="R20" s="16">
        <v>5</v>
      </c>
    </row>
    <row r="21" spans="1:18" ht="43.2" x14ac:dyDescent="0.3">
      <c r="A21" s="16" t="s">
        <v>21</v>
      </c>
      <c r="B21" s="16" t="s">
        <v>22</v>
      </c>
      <c r="C21" s="16" t="s">
        <v>23</v>
      </c>
      <c r="D21" s="16">
        <v>468806</v>
      </c>
      <c r="E21" s="16" t="s">
        <v>40</v>
      </c>
      <c r="F21" s="24">
        <v>46185</v>
      </c>
      <c r="G21" s="24" t="s">
        <v>46</v>
      </c>
      <c r="H21" s="17" t="s">
        <v>97</v>
      </c>
      <c r="I21" s="17" t="s">
        <v>98</v>
      </c>
      <c r="J21" s="19">
        <v>4.1666666666666664E-2</v>
      </c>
      <c r="K21" s="19">
        <v>4.1666666666666664E-2</v>
      </c>
      <c r="L21" s="21">
        <f>CRF_35[[#This Row],[Time Spent on Configuration]]+CRF_35[[#This Row],[Time Spent on Review/Testing]]</f>
        <v>8.3333333333333329E-2</v>
      </c>
      <c r="N21" s="16" t="s">
        <v>56</v>
      </c>
      <c r="O21" s="16" t="s">
        <v>37</v>
      </c>
      <c r="P21" s="16" t="s">
        <v>38</v>
      </c>
      <c r="Q21" s="24">
        <v>46185</v>
      </c>
      <c r="R21" s="16">
        <v>5</v>
      </c>
    </row>
    <row r="22" spans="1:18" ht="57.6" x14ac:dyDescent="0.3">
      <c r="A22" s="16" t="s">
        <v>99</v>
      </c>
      <c r="B22" s="16" t="s">
        <v>32</v>
      </c>
      <c r="C22" s="16" t="s">
        <v>23</v>
      </c>
      <c r="D22" s="16">
        <v>471464</v>
      </c>
      <c r="E22" s="16" t="s">
        <v>40</v>
      </c>
      <c r="F22" s="24">
        <v>46212</v>
      </c>
      <c r="G22" s="24" t="s">
        <v>25</v>
      </c>
      <c r="H22" s="17" t="s">
        <v>100</v>
      </c>
      <c r="I22" s="57" t="s">
        <v>101</v>
      </c>
      <c r="J22" s="19">
        <v>6.9444444444444441E-3</v>
      </c>
      <c r="K22" s="19">
        <v>5.5555555555555552E-2</v>
      </c>
      <c r="L22" s="21">
        <f>CRF_35[[#This Row],[Time Spent on Configuration]]+CRF_35[[#This Row],[Time Spent on Review/Testing]]</f>
        <v>6.25E-2</v>
      </c>
      <c r="N22" s="16" t="s">
        <v>43</v>
      </c>
      <c r="O22" s="16" t="s">
        <v>102</v>
      </c>
      <c r="P22" s="16" t="s">
        <v>38</v>
      </c>
      <c r="Q22" s="24">
        <v>46212</v>
      </c>
      <c r="R22" s="16">
        <v>5</v>
      </c>
    </row>
    <row r="23" spans="1:18" ht="43.2" x14ac:dyDescent="0.3">
      <c r="A23" s="16" t="s">
        <v>99</v>
      </c>
      <c r="B23" s="16" t="s">
        <v>103</v>
      </c>
      <c r="C23" s="16" t="s">
        <v>104</v>
      </c>
      <c r="D23" s="16">
        <v>472076</v>
      </c>
      <c r="E23" s="16" t="s">
        <v>40</v>
      </c>
      <c r="F23" s="24">
        <v>46216</v>
      </c>
      <c r="G23" s="24" t="s">
        <v>25</v>
      </c>
      <c r="H23" s="17" t="s">
        <v>105</v>
      </c>
      <c r="I23" s="57" t="s">
        <v>106</v>
      </c>
      <c r="J23" s="19">
        <v>6.9444444444444441E-3</v>
      </c>
      <c r="K23" s="19">
        <v>2.0833333333333332E-2</v>
      </c>
      <c r="L23" s="21">
        <f>CRF_35[[#This Row],[Time Spent on Configuration]]+CRF_35[[#This Row],[Time Spent on Review/Testing]]</f>
        <v>2.7777777777777776E-2</v>
      </c>
      <c r="N23" s="16" t="s">
        <v>43</v>
      </c>
      <c r="O23" s="16" t="s">
        <v>37</v>
      </c>
      <c r="P23" s="58" t="s">
        <v>38</v>
      </c>
      <c r="Q23" s="24">
        <v>46216</v>
      </c>
      <c r="R23" s="16">
        <v>5</v>
      </c>
    </row>
    <row r="24" spans="1:18" ht="86.4" x14ac:dyDescent="0.3">
      <c r="A24" s="16" t="s">
        <v>99</v>
      </c>
      <c r="B24" s="16" t="s">
        <v>103</v>
      </c>
      <c r="C24" s="16" t="s">
        <v>104</v>
      </c>
      <c r="D24" s="16">
        <v>470414</v>
      </c>
      <c r="E24" s="16" t="s">
        <v>40</v>
      </c>
      <c r="F24" s="24">
        <v>46216</v>
      </c>
      <c r="G24" s="24" t="s">
        <v>46</v>
      </c>
      <c r="H24" s="17" t="s">
        <v>107</v>
      </c>
      <c r="I24" s="17" t="s">
        <v>108</v>
      </c>
      <c r="J24" s="19">
        <v>6.9444444444444441E-3</v>
      </c>
      <c r="K24" s="19">
        <v>3.4722222222222224E-2</v>
      </c>
      <c r="L24" s="21">
        <f>CRF_35[[#This Row],[Time Spent on Configuration]]+CRF_35[[#This Row],[Time Spent on Review/Testing]]</f>
        <v>4.1666666666666671E-2</v>
      </c>
      <c r="N24" s="16" t="s">
        <v>56</v>
      </c>
      <c r="O24" s="16" t="s">
        <v>37</v>
      </c>
      <c r="P24" s="16" t="s">
        <v>38</v>
      </c>
      <c r="Q24" s="24">
        <v>46216</v>
      </c>
      <c r="R24" s="16">
        <v>5</v>
      </c>
    </row>
    <row r="25" spans="1:18" ht="28.8" x14ac:dyDescent="0.3">
      <c r="A25" s="16" t="s">
        <v>31</v>
      </c>
      <c r="B25" s="16" t="s">
        <v>109</v>
      </c>
      <c r="C25" s="16" t="s">
        <v>110</v>
      </c>
      <c r="E25" s="16" t="s">
        <v>111</v>
      </c>
      <c r="F25" s="24">
        <v>45659</v>
      </c>
      <c r="G25" s="24" t="s">
        <v>53</v>
      </c>
      <c r="H25" s="17" t="s">
        <v>112</v>
      </c>
      <c r="I25" s="17" t="s">
        <v>113</v>
      </c>
      <c r="J25" s="19">
        <v>1.7361111111111112E-2</v>
      </c>
      <c r="K25" s="19">
        <v>7.6388888888888895E-2</v>
      </c>
      <c r="L25" s="21">
        <f>CRF_35[[#This Row],[Time Spent on Configuration]]+CRF_35[[#This Row],[Time Spent on Review/Testing]]</f>
        <v>9.375E-2</v>
      </c>
      <c r="N25" s="16" t="s">
        <v>56</v>
      </c>
      <c r="O25" s="16" t="s">
        <v>29</v>
      </c>
      <c r="P25" s="23" t="s">
        <v>114</v>
      </c>
      <c r="Q25" s="24">
        <v>46024</v>
      </c>
      <c r="R25" s="16">
        <v>5</v>
      </c>
    </row>
    <row r="26" spans="1:18" ht="374.4" x14ac:dyDescent="0.3">
      <c r="A26" s="16" t="s">
        <v>31</v>
      </c>
      <c r="B26" s="16" t="s">
        <v>115</v>
      </c>
      <c r="C26" s="16" t="s">
        <v>116</v>
      </c>
      <c r="D26" s="16">
        <v>450869</v>
      </c>
      <c r="E26" s="16" t="s">
        <v>40</v>
      </c>
      <c r="F26" s="24">
        <v>46038</v>
      </c>
      <c r="G26" s="24" t="s">
        <v>46</v>
      </c>
      <c r="H26" s="17" t="s">
        <v>117</v>
      </c>
      <c r="I26" s="17" t="s">
        <v>118</v>
      </c>
      <c r="J26" s="19">
        <v>2.7777777777777776E-2</v>
      </c>
      <c r="K26" s="19">
        <v>4.1666666666666664E-2</v>
      </c>
      <c r="L26" s="21">
        <f>CRF_35[[#This Row],[Time Spent on Configuration]]+CRF_35[[#This Row],[Time Spent on Review/Testing]]</f>
        <v>6.9444444444444448E-2</v>
      </c>
      <c r="N26" s="16" t="s">
        <v>37</v>
      </c>
      <c r="O26" s="16" t="s">
        <v>29</v>
      </c>
      <c r="P26" s="16" t="s">
        <v>114</v>
      </c>
      <c r="Q26" s="24">
        <v>46039</v>
      </c>
      <c r="R26" s="16">
        <v>5</v>
      </c>
    </row>
    <row r="27" spans="1:18" ht="230.4" x14ac:dyDescent="0.3">
      <c r="A27" s="16" t="s">
        <v>31</v>
      </c>
      <c r="B27" s="16" t="s">
        <v>119</v>
      </c>
      <c r="C27" s="16" t="s">
        <v>120</v>
      </c>
      <c r="D27" s="16">
        <v>450658</v>
      </c>
      <c r="E27" s="16" t="s">
        <v>40</v>
      </c>
      <c r="F27" s="24">
        <v>46050</v>
      </c>
      <c r="G27" s="24" t="s">
        <v>46</v>
      </c>
      <c r="H27" s="17" t="s">
        <v>121</v>
      </c>
      <c r="I27" s="17" t="s">
        <v>122</v>
      </c>
      <c r="J27" s="19">
        <v>8.3333333333333329E-2</v>
      </c>
      <c r="K27" s="19">
        <v>0.10416666666666667</v>
      </c>
      <c r="L27" s="21">
        <f>CRF_35[[#This Row],[Time Spent on Configuration]]+CRF_35[[#This Row],[Time Spent on Review/Testing]]</f>
        <v>0.1875</v>
      </c>
      <c r="N27" s="16" t="s">
        <v>56</v>
      </c>
      <c r="O27" s="16" t="s">
        <v>37</v>
      </c>
      <c r="P27" s="16" t="s">
        <v>114</v>
      </c>
      <c r="Q27" s="24">
        <v>46050</v>
      </c>
      <c r="R27" s="16">
        <v>5</v>
      </c>
    </row>
    <row r="28" spans="1:18" ht="100.8" x14ac:dyDescent="0.3">
      <c r="A28" s="16" t="s">
        <v>31</v>
      </c>
      <c r="B28" s="16" t="s">
        <v>123</v>
      </c>
      <c r="C28" s="16" t="s">
        <v>23</v>
      </c>
      <c r="D28" s="16">
        <v>452639</v>
      </c>
      <c r="E28" s="16" t="s">
        <v>24</v>
      </c>
      <c r="F28" s="24">
        <v>46050</v>
      </c>
      <c r="G28" s="24" t="s">
        <v>25</v>
      </c>
      <c r="H28" s="17" t="s">
        <v>124</v>
      </c>
      <c r="I28" s="17" t="s">
        <v>125</v>
      </c>
      <c r="J28" s="19">
        <v>4.1666666666666664E-2</v>
      </c>
      <c r="K28" s="19"/>
      <c r="L28" s="21">
        <f>CRF_35[[#This Row],[Time Spent on Configuration]]+CRF_35[[#This Row],[Time Spent on Review/Testing]]</f>
        <v>4.1666666666666664E-2</v>
      </c>
      <c r="N28" s="16" t="s">
        <v>37</v>
      </c>
      <c r="O28" s="16" t="s">
        <v>29</v>
      </c>
      <c r="P28" s="16" t="s">
        <v>114</v>
      </c>
      <c r="Q28" s="24">
        <v>46053</v>
      </c>
      <c r="R28" s="16">
        <v>5</v>
      </c>
    </row>
    <row r="29" spans="1:18" ht="43.2" x14ac:dyDescent="0.3">
      <c r="A29" s="16" t="s">
        <v>49</v>
      </c>
      <c r="B29" s="16" t="s">
        <v>126</v>
      </c>
      <c r="C29" s="16" t="s">
        <v>120</v>
      </c>
      <c r="D29" s="16">
        <v>454010</v>
      </c>
      <c r="E29" s="16" t="s">
        <v>40</v>
      </c>
      <c r="F29" s="24">
        <v>46059</v>
      </c>
      <c r="G29" s="24" t="s">
        <v>46</v>
      </c>
      <c r="H29" s="17" t="s">
        <v>127</v>
      </c>
      <c r="I29" s="17" t="s">
        <v>128</v>
      </c>
      <c r="J29" s="19">
        <v>6.9444444444444441E-3</v>
      </c>
      <c r="K29" s="19">
        <v>3.4722222222222224E-2</v>
      </c>
      <c r="L29" s="21">
        <f>CRF_35[[#This Row],[Time Spent on Configuration]]+CRF_35[[#This Row],[Time Spent on Review/Testing]]</f>
        <v>4.1666666666666671E-2</v>
      </c>
      <c r="N29" s="16" t="s">
        <v>56</v>
      </c>
      <c r="O29" s="16" t="s">
        <v>29</v>
      </c>
      <c r="P29" s="16" t="s">
        <v>114</v>
      </c>
      <c r="Q29" s="24">
        <v>46060</v>
      </c>
      <c r="R29" s="16">
        <v>5</v>
      </c>
    </row>
    <row r="30" spans="1:18" ht="43.2" x14ac:dyDescent="0.3">
      <c r="A30" s="16" t="s">
        <v>49</v>
      </c>
      <c r="B30" s="16" t="s">
        <v>129</v>
      </c>
      <c r="C30" s="16" t="s">
        <v>120</v>
      </c>
      <c r="D30" s="16">
        <v>454207</v>
      </c>
      <c r="E30" s="16" t="s">
        <v>24</v>
      </c>
      <c r="F30" s="24">
        <v>46063</v>
      </c>
      <c r="G30" s="24" t="s">
        <v>25</v>
      </c>
      <c r="H30" s="17" t="s">
        <v>130</v>
      </c>
      <c r="I30" s="17" t="s">
        <v>131</v>
      </c>
      <c r="J30" s="19">
        <v>2.7777777777777776E-2</v>
      </c>
      <c r="K30" s="19">
        <v>6.9444444444444448E-2</v>
      </c>
      <c r="L30" s="21">
        <f>CRF_35[[#This Row],[Time Spent on Configuration]]+CRF_35[[#This Row],[Time Spent on Review/Testing]]</f>
        <v>9.7222222222222224E-2</v>
      </c>
      <c r="N30" s="16" t="s">
        <v>56</v>
      </c>
      <c r="O30" s="16" t="s">
        <v>37</v>
      </c>
      <c r="P30" s="16" t="s">
        <v>114</v>
      </c>
      <c r="Q30" s="24">
        <v>46063</v>
      </c>
      <c r="R30" s="16">
        <v>5</v>
      </c>
    </row>
    <row r="31" spans="1:18" ht="43.2" x14ac:dyDescent="0.3">
      <c r="A31" s="16" t="s">
        <v>49</v>
      </c>
      <c r="B31" s="16" t="s">
        <v>132</v>
      </c>
      <c r="C31" s="16" t="s">
        <v>120</v>
      </c>
      <c r="D31" s="16">
        <v>454665</v>
      </c>
      <c r="E31" s="16" t="s">
        <v>24</v>
      </c>
      <c r="F31" s="24">
        <v>46065</v>
      </c>
      <c r="G31" s="24" t="s">
        <v>25</v>
      </c>
      <c r="H31" s="17" t="s">
        <v>133</v>
      </c>
      <c r="I31" s="17" t="s">
        <v>134</v>
      </c>
      <c r="J31" s="19">
        <v>6.9444444444444441E-3</v>
      </c>
      <c r="K31" s="19">
        <v>6.9444444444444448E-2</v>
      </c>
      <c r="L31" s="21">
        <f>CRF_35[[#This Row],[Time Spent on Configuration]]+CRF_35[[#This Row],[Time Spent on Review/Testing]]</f>
        <v>7.6388888888888895E-2</v>
      </c>
      <c r="N31" s="16" t="s">
        <v>56</v>
      </c>
      <c r="O31" s="16" t="s">
        <v>37</v>
      </c>
      <c r="P31" s="16" t="s">
        <v>114</v>
      </c>
      <c r="Q31" s="24">
        <v>46065</v>
      </c>
      <c r="R31" s="16">
        <v>5</v>
      </c>
    </row>
    <row r="32" spans="1:18" x14ac:dyDescent="0.3">
      <c r="A32" s="16" t="s">
        <v>49</v>
      </c>
      <c r="B32" s="16" t="s">
        <v>135</v>
      </c>
      <c r="C32" s="16" t="s">
        <v>120</v>
      </c>
      <c r="D32" s="16">
        <v>454898</v>
      </c>
      <c r="E32" s="16" t="s">
        <v>111</v>
      </c>
      <c r="F32" s="24">
        <v>46069</v>
      </c>
      <c r="G32" s="24" t="s">
        <v>46</v>
      </c>
      <c r="H32" s="17" t="s">
        <v>136</v>
      </c>
      <c r="I32" s="17" t="s">
        <v>137</v>
      </c>
      <c r="J32" s="19">
        <v>6.9444444444444441E-3</v>
      </c>
      <c r="K32" s="19">
        <v>2.0833333333333332E-2</v>
      </c>
      <c r="L32" s="21">
        <f>CRF_35[[#This Row],[Time Spent on Configuration]]+CRF_35[[#This Row],[Time Spent on Review/Testing]]</f>
        <v>2.7777777777777776E-2</v>
      </c>
      <c r="N32" s="16" t="s">
        <v>56</v>
      </c>
      <c r="O32" s="16" t="s">
        <v>29</v>
      </c>
      <c r="P32" s="16" t="s">
        <v>114</v>
      </c>
      <c r="Q32" s="24">
        <v>46069</v>
      </c>
      <c r="R32" s="16">
        <v>5</v>
      </c>
    </row>
    <row r="33" spans="1:18" ht="28.8" x14ac:dyDescent="0.3">
      <c r="A33" s="16" t="s">
        <v>65</v>
      </c>
      <c r="B33" s="16" t="s">
        <v>138</v>
      </c>
      <c r="C33" s="16" t="s">
        <v>120</v>
      </c>
      <c r="D33" s="16">
        <v>456767</v>
      </c>
      <c r="E33" s="16" t="s">
        <v>40</v>
      </c>
      <c r="F33" s="24">
        <v>46085</v>
      </c>
      <c r="G33" s="24" t="s">
        <v>81</v>
      </c>
      <c r="H33" s="17" t="s">
        <v>139</v>
      </c>
      <c r="I33" s="17" t="s">
        <v>140</v>
      </c>
      <c r="J33" s="19">
        <v>1.3888888888888888E-2</v>
      </c>
      <c r="K33" s="19">
        <v>3.4722222222222224E-2</v>
      </c>
      <c r="L33" s="21">
        <f>CRF_35[[#This Row],[Time Spent on Configuration]]+CRF_35[[#This Row],[Time Spent on Review/Testing]]</f>
        <v>4.8611111111111112E-2</v>
      </c>
      <c r="N33" s="16" t="s">
        <v>28</v>
      </c>
      <c r="O33" s="16" t="s">
        <v>29</v>
      </c>
      <c r="P33" s="16" t="s">
        <v>114</v>
      </c>
      <c r="Q33" s="24">
        <v>46085</v>
      </c>
      <c r="R33" s="16">
        <v>5</v>
      </c>
    </row>
    <row r="34" spans="1:18" ht="144" x14ac:dyDescent="0.3">
      <c r="A34" s="16" t="s">
        <v>65</v>
      </c>
      <c r="B34" s="16" t="s">
        <v>141</v>
      </c>
      <c r="C34" s="16" t="s">
        <v>120</v>
      </c>
      <c r="D34" s="16">
        <v>452163</v>
      </c>
      <c r="E34" s="16" t="s">
        <v>40</v>
      </c>
      <c r="F34" s="24">
        <v>46091</v>
      </c>
      <c r="G34" s="24" t="s">
        <v>25</v>
      </c>
      <c r="H34" s="17" t="s">
        <v>142</v>
      </c>
      <c r="I34" s="17" t="s">
        <v>143</v>
      </c>
      <c r="J34" s="19">
        <v>1.3888888888888888E-2</v>
      </c>
      <c r="K34" s="19">
        <v>3.4722222222222224E-2</v>
      </c>
      <c r="L34" s="21">
        <f>CRF_35[[#This Row],[Time Spent on Configuration]]+CRF_35[[#This Row],[Time Spent on Review/Testing]]</f>
        <v>4.8611111111111112E-2</v>
      </c>
      <c r="N34" s="16" t="s">
        <v>37</v>
      </c>
      <c r="O34" s="16" t="s">
        <v>29</v>
      </c>
      <c r="P34" s="16" t="s">
        <v>114</v>
      </c>
      <c r="Q34" s="24">
        <v>46091</v>
      </c>
      <c r="R34" s="16">
        <v>5</v>
      </c>
    </row>
    <row r="35" spans="1:18" ht="43.2" x14ac:dyDescent="0.3">
      <c r="A35" s="16" t="s">
        <v>65</v>
      </c>
      <c r="B35" s="16" t="s">
        <v>144</v>
      </c>
      <c r="C35" s="16" t="s">
        <v>23</v>
      </c>
      <c r="D35" s="16">
        <v>456101</v>
      </c>
      <c r="E35" s="16" t="s">
        <v>24</v>
      </c>
      <c r="F35" s="24">
        <v>46092</v>
      </c>
      <c r="G35" s="24" t="s">
        <v>81</v>
      </c>
      <c r="H35" s="17" t="s">
        <v>145</v>
      </c>
      <c r="I35" s="17" t="s">
        <v>146</v>
      </c>
      <c r="J35" s="19">
        <v>1.3888888888888888E-2</v>
      </c>
      <c r="K35" s="19">
        <v>3.4722222222222224E-2</v>
      </c>
      <c r="L35" s="21">
        <f>CRF_35[[#This Row],[Time Spent on Configuration]]+CRF_35[[#This Row],[Time Spent on Review/Testing]]</f>
        <v>4.8611111111111112E-2</v>
      </c>
      <c r="N35" s="16" t="s">
        <v>37</v>
      </c>
      <c r="O35" s="16" t="s">
        <v>29</v>
      </c>
      <c r="P35" s="16" t="s">
        <v>114</v>
      </c>
      <c r="Q35" s="24">
        <v>46092</v>
      </c>
      <c r="R35" s="16">
        <v>5</v>
      </c>
    </row>
    <row r="36" spans="1:18" ht="28.8" x14ac:dyDescent="0.3">
      <c r="A36" s="16" t="s">
        <v>65</v>
      </c>
      <c r="B36" s="16" t="s">
        <v>109</v>
      </c>
      <c r="C36" s="16" t="s">
        <v>110</v>
      </c>
      <c r="D36" s="16">
        <v>452768</v>
      </c>
      <c r="E36" s="16" t="s">
        <v>24</v>
      </c>
      <c r="F36" s="24">
        <v>46094</v>
      </c>
      <c r="G36" s="24" t="s">
        <v>53</v>
      </c>
      <c r="H36" s="17" t="s">
        <v>147</v>
      </c>
      <c r="I36" s="17" t="s">
        <v>148</v>
      </c>
      <c r="J36" s="19">
        <v>4.5138888888888888E-2</v>
      </c>
      <c r="K36" s="19">
        <v>6.9444444444444448E-2</v>
      </c>
      <c r="L36" s="21">
        <f>CRF_35[[#This Row],[Time Spent on Configuration]]+CRF_35[[#This Row],[Time Spent on Review/Testing]]</f>
        <v>0.11458333333333334</v>
      </c>
      <c r="N36" s="16" t="s">
        <v>28</v>
      </c>
      <c r="O36" s="16" t="s">
        <v>37</v>
      </c>
      <c r="P36" s="16" t="s">
        <v>114</v>
      </c>
      <c r="Q36" s="24">
        <v>46094</v>
      </c>
      <c r="R36" s="16">
        <v>5</v>
      </c>
    </row>
    <row r="37" spans="1:18" ht="100.8" x14ac:dyDescent="0.3">
      <c r="A37" s="16" t="s">
        <v>65</v>
      </c>
      <c r="B37" s="16" t="s">
        <v>144</v>
      </c>
      <c r="C37" s="16" t="s">
        <v>23</v>
      </c>
      <c r="D37" s="16">
        <v>457132</v>
      </c>
      <c r="E37" s="16" t="s">
        <v>24</v>
      </c>
      <c r="F37" s="24">
        <v>46095</v>
      </c>
      <c r="G37" s="24" t="s">
        <v>70</v>
      </c>
      <c r="H37" s="17" t="s">
        <v>149</v>
      </c>
      <c r="I37" s="17" t="s">
        <v>150</v>
      </c>
      <c r="J37" s="19">
        <v>1.3888888888888888E-2</v>
      </c>
      <c r="K37" s="19">
        <v>8.3333333333333329E-2</v>
      </c>
      <c r="L37" s="21">
        <f>CRF_35[[#This Row],[Time Spent on Configuration]]+CRF_35[[#This Row],[Time Spent on Review/Testing]]</f>
        <v>9.722222222222221E-2</v>
      </c>
      <c r="N37" s="16" t="s">
        <v>56</v>
      </c>
      <c r="O37" s="16" t="s">
        <v>37</v>
      </c>
      <c r="P37" s="16" t="s">
        <v>114</v>
      </c>
      <c r="Q37" s="24">
        <v>46097</v>
      </c>
      <c r="R37" s="16">
        <v>5</v>
      </c>
    </row>
    <row r="38" spans="1:18" ht="144" x14ac:dyDescent="0.3">
      <c r="A38" s="16" t="s">
        <v>65</v>
      </c>
      <c r="B38" s="16" t="s">
        <v>144</v>
      </c>
      <c r="C38" s="16" t="s">
        <v>23</v>
      </c>
      <c r="D38" s="16">
        <v>457895</v>
      </c>
      <c r="E38" s="16" t="s">
        <v>24</v>
      </c>
      <c r="F38" s="24">
        <v>46106</v>
      </c>
      <c r="G38" s="24" t="s">
        <v>53</v>
      </c>
      <c r="H38" s="17" t="s">
        <v>151</v>
      </c>
      <c r="I38" s="17" t="s">
        <v>152</v>
      </c>
      <c r="J38" s="19">
        <v>2.0833333333333332E-2</v>
      </c>
      <c r="K38" s="19">
        <v>3.4722222222222224E-2</v>
      </c>
      <c r="L38" s="21">
        <f>CRF_35[[#This Row],[Time Spent on Configuration]]+CRF_35[[#This Row],[Time Spent on Review/Testing]]</f>
        <v>5.5555555555555552E-2</v>
      </c>
      <c r="N38" s="16" t="s">
        <v>37</v>
      </c>
      <c r="O38" s="16" t="s">
        <v>29</v>
      </c>
      <c r="P38" s="16" t="s">
        <v>114</v>
      </c>
      <c r="Q38" s="24">
        <v>46106</v>
      </c>
      <c r="R38" s="16">
        <v>5</v>
      </c>
    </row>
    <row r="39" spans="1:18" ht="288" x14ac:dyDescent="0.3">
      <c r="A39" s="16" t="s">
        <v>65</v>
      </c>
      <c r="B39" s="16" t="s">
        <v>135</v>
      </c>
      <c r="C39" s="16" t="s">
        <v>120</v>
      </c>
      <c r="D39" s="16">
        <v>459079</v>
      </c>
      <c r="E39" s="16" t="s">
        <v>40</v>
      </c>
      <c r="F39" s="24">
        <v>46105</v>
      </c>
      <c r="G39" s="24" t="s">
        <v>25</v>
      </c>
      <c r="H39" s="17" t="s">
        <v>153</v>
      </c>
      <c r="I39" s="17" t="s">
        <v>154</v>
      </c>
      <c r="J39" s="19">
        <v>2.4305555555555556E-2</v>
      </c>
      <c r="K39" s="19">
        <v>6.25E-2</v>
      </c>
      <c r="L39" s="21">
        <f>CRF_35[[#This Row],[Time Spent on Configuration]]+CRF_35[[#This Row],[Time Spent on Review/Testing]]</f>
        <v>8.6805555555555552E-2</v>
      </c>
      <c r="N39" s="16" t="s">
        <v>37</v>
      </c>
      <c r="O39" s="16" t="s">
        <v>29</v>
      </c>
      <c r="P39" s="16" t="s">
        <v>114</v>
      </c>
      <c r="Q39" s="24">
        <v>46107</v>
      </c>
      <c r="R39" s="16">
        <v>4</v>
      </c>
    </row>
    <row r="40" spans="1:18" ht="43.2" x14ac:dyDescent="0.3">
      <c r="A40" s="16" t="s">
        <v>155</v>
      </c>
      <c r="B40" s="16" t="s">
        <v>144</v>
      </c>
      <c r="C40" s="16" t="s">
        <v>23</v>
      </c>
      <c r="D40" s="16">
        <v>457132</v>
      </c>
      <c r="E40" s="16" t="s">
        <v>24</v>
      </c>
      <c r="F40" s="24">
        <v>46128</v>
      </c>
      <c r="G40" s="24" t="s">
        <v>70</v>
      </c>
      <c r="H40" s="17" t="s">
        <v>156</v>
      </c>
      <c r="I40" s="60" t="s">
        <v>157</v>
      </c>
      <c r="J40" s="19">
        <v>6.9444444444444441E-3</v>
      </c>
      <c r="K40" s="19">
        <v>6.25E-2</v>
      </c>
      <c r="L40" s="21">
        <f>CRF_35[[#This Row],[Time Spent on Configuration]]+CRF_35[[#This Row],[Time Spent on Review/Testing]]</f>
        <v>6.9444444444444448E-2</v>
      </c>
      <c r="N40" s="16" t="s">
        <v>56</v>
      </c>
      <c r="O40" s="16" t="s">
        <v>37</v>
      </c>
      <c r="P40" s="16" t="s">
        <v>114</v>
      </c>
      <c r="Q40" s="24">
        <v>46128</v>
      </c>
      <c r="R40" s="16">
        <v>5</v>
      </c>
    </row>
    <row r="41" spans="1:18" ht="57.6" x14ac:dyDescent="0.3">
      <c r="A41" s="16" t="s">
        <v>155</v>
      </c>
      <c r="B41" s="16" t="s">
        <v>115</v>
      </c>
      <c r="C41" s="16" t="s">
        <v>116</v>
      </c>
      <c r="D41" s="16">
        <v>461933</v>
      </c>
      <c r="E41" s="16" t="s">
        <v>24</v>
      </c>
      <c r="F41" s="24">
        <v>46128</v>
      </c>
      <c r="G41" s="24" t="s">
        <v>81</v>
      </c>
      <c r="H41" s="17" t="s">
        <v>158</v>
      </c>
      <c r="I41" s="17" t="s">
        <v>159</v>
      </c>
      <c r="J41" s="19">
        <v>1.6666666666666666E-2</v>
      </c>
      <c r="K41" s="19">
        <v>6.25E-2</v>
      </c>
      <c r="L41" s="21">
        <f>CRF_35[[#This Row],[Time Spent on Configuration]]+CRF_35[[#This Row],[Time Spent on Review/Testing]]</f>
        <v>7.9166666666666663E-2</v>
      </c>
      <c r="N41" s="16" t="s">
        <v>56</v>
      </c>
      <c r="O41" s="16" t="s">
        <v>37</v>
      </c>
      <c r="P41" s="16" t="s">
        <v>114</v>
      </c>
      <c r="Q41" s="24">
        <v>46128</v>
      </c>
      <c r="R41" s="16">
        <v>5</v>
      </c>
    </row>
    <row r="42" spans="1:18" ht="57.6" x14ac:dyDescent="0.3">
      <c r="A42" s="16" t="s">
        <v>155</v>
      </c>
      <c r="B42" s="16" t="s">
        <v>126</v>
      </c>
      <c r="C42" s="16" t="s">
        <v>120</v>
      </c>
      <c r="D42" s="16">
        <v>460116</v>
      </c>
      <c r="E42" s="16" t="s">
        <v>40</v>
      </c>
      <c r="F42" s="24">
        <v>46129</v>
      </c>
      <c r="G42" s="24" t="s">
        <v>53</v>
      </c>
      <c r="H42" s="17" t="s">
        <v>160</v>
      </c>
      <c r="I42" s="17" t="s">
        <v>161</v>
      </c>
      <c r="J42" s="19">
        <v>2.361111111111111E-2</v>
      </c>
      <c r="K42" s="19">
        <v>6.25E-2</v>
      </c>
      <c r="L42" s="21">
        <f>CRF_35[[#This Row],[Time Spent on Configuration]]+CRF_35[[#This Row],[Time Spent on Review/Testing]]</f>
        <v>8.611111111111111E-2</v>
      </c>
      <c r="N42" s="16" t="s">
        <v>43</v>
      </c>
      <c r="O42" s="16" t="s">
        <v>37</v>
      </c>
      <c r="P42" s="16" t="s">
        <v>114</v>
      </c>
      <c r="Q42" s="24">
        <v>46129</v>
      </c>
      <c r="R42" s="16">
        <v>4</v>
      </c>
    </row>
    <row r="43" spans="1:18" ht="57.6" x14ac:dyDescent="0.3">
      <c r="A43" s="16" t="s">
        <v>155</v>
      </c>
      <c r="B43" s="16" t="s">
        <v>162</v>
      </c>
      <c r="C43" s="16" t="s">
        <v>120</v>
      </c>
      <c r="D43" s="16">
        <v>462661</v>
      </c>
      <c r="E43" s="16" t="s">
        <v>40</v>
      </c>
      <c r="F43" s="24">
        <v>46134</v>
      </c>
      <c r="G43" s="24" t="s">
        <v>25</v>
      </c>
      <c r="H43" s="17" t="s">
        <v>163</v>
      </c>
      <c r="I43" s="17" t="s">
        <v>164</v>
      </c>
      <c r="J43" s="19">
        <v>4.8611111111111112E-2</v>
      </c>
      <c r="K43" s="19">
        <v>6.25E-2</v>
      </c>
      <c r="L43" s="21">
        <f>CRF_35[[#This Row],[Time Spent on Configuration]]+CRF_35[[#This Row],[Time Spent on Review/Testing]]</f>
        <v>0.1111111111111111</v>
      </c>
      <c r="N43" s="16" t="s">
        <v>28</v>
      </c>
      <c r="O43" s="16" t="s">
        <v>37</v>
      </c>
      <c r="P43" s="16" t="s">
        <v>114</v>
      </c>
      <c r="Q43" s="24">
        <v>46134</v>
      </c>
      <c r="R43" s="16">
        <v>5</v>
      </c>
    </row>
    <row r="44" spans="1:18" ht="57.6" x14ac:dyDescent="0.3">
      <c r="A44" s="16" t="s">
        <v>155</v>
      </c>
      <c r="B44" s="16" t="s">
        <v>165</v>
      </c>
      <c r="C44" s="16" t="s">
        <v>166</v>
      </c>
      <c r="D44" s="16">
        <v>459752</v>
      </c>
      <c r="E44" s="16" t="s">
        <v>40</v>
      </c>
      <c r="F44" s="24">
        <v>46142</v>
      </c>
      <c r="G44" s="24" t="s">
        <v>167</v>
      </c>
      <c r="H44" s="17" t="s">
        <v>168</v>
      </c>
      <c r="I44" s="17" t="s">
        <v>169</v>
      </c>
      <c r="J44" s="19">
        <v>3.125E-2</v>
      </c>
      <c r="K44" s="19">
        <v>2.0833333333333332E-2</v>
      </c>
      <c r="L44" s="21">
        <f>CRF_35[[#This Row],[Time Spent on Configuration]]+CRF_35[[#This Row],[Time Spent on Review/Testing]]</f>
        <v>5.2083333333333329E-2</v>
      </c>
      <c r="N44" s="16" t="s">
        <v>28</v>
      </c>
      <c r="O44" s="16" t="s">
        <v>37</v>
      </c>
      <c r="P44" s="16" t="s">
        <v>114</v>
      </c>
      <c r="Q44" s="24">
        <v>46142</v>
      </c>
      <c r="R44" s="16">
        <v>5</v>
      </c>
    </row>
    <row r="45" spans="1:18" ht="72" x14ac:dyDescent="0.3">
      <c r="A45" s="16" t="s">
        <v>79</v>
      </c>
      <c r="B45" s="16" t="s">
        <v>170</v>
      </c>
      <c r="C45" s="16" t="s">
        <v>171</v>
      </c>
      <c r="D45" s="16">
        <v>462984</v>
      </c>
      <c r="E45" s="16" t="s">
        <v>24</v>
      </c>
      <c r="F45" s="24">
        <v>46151</v>
      </c>
      <c r="G45" s="24" t="s">
        <v>81</v>
      </c>
      <c r="H45" s="17" t="s">
        <v>172</v>
      </c>
      <c r="I45" s="17" t="s">
        <v>173</v>
      </c>
      <c r="J45" s="19">
        <v>4.8611111111111112E-3</v>
      </c>
      <c r="K45" s="19">
        <v>3.4722222222222224E-2</v>
      </c>
      <c r="L45" s="21">
        <f>CRF_35[[#This Row],[Time Spent on Configuration]]+CRF_35[[#This Row],[Time Spent on Review/Testing]]</f>
        <v>3.9583333333333331E-2</v>
      </c>
      <c r="N45" s="16" t="s">
        <v>43</v>
      </c>
      <c r="O45" s="16" t="s">
        <v>29</v>
      </c>
      <c r="P45" s="16" t="s">
        <v>114</v>
      </c>
      <c r="Q45" s="24">
        <v>46151</v>
      </c>
      <c r="R45" s="16">
        <v>5</v>
      </c>
    </row>
    <row r="46" spans="1:18" ht="115.2" x14ac:dyDescent="0.3">
      <c r="A46" s="16" t="s">
        <v>79</v>
      </c>
      <c r="B46" s="16" t="s">
        <v>144</v>
      </c>
      <c r="C46" s="16" t="s">
        <v>23</v>
      </c>
      <c r="D46" s="16">
        <v>466610</v>
      </c>
      <c r="E46" s="16" t="s">
        <v>24</v>
      </c>
      <c r="F46" s="24">
        <v>46164</v>
      </c>
      <c r="G46" s="24" t="s">
        <v>87</v>
      </c>
      <c r="H46" s="17" t="s">
        <v>174</v>
      </c>
      <c r="I46" s="59" t="s">
        <v>175</v>
      </c>
      <c r="J46" s="19">
        <v>1.2500000000000001E-2</v>
      </c>
      <c r="K46" s="19">
        <v>2.7777777777777776E-2</v>
      </c>
      <c r="L46" s="21">
        <f>CRF_35[[#This Row],[Time Spent on Configuration]]+CRF_35[[#This Row],[Time Spent on Review/Testing]]</f>
        <v>4.0277777777777773E-2</v>
      </c>
      <c r="N46" s="16" t="s">
        <v>56</v>
      </c>
      <c r="O46" s="16" t="s">
        <v>37</v>
      </c>
      <c r="P46" s="16" t="s">
        <v>114</v>
      </c>
      <c r="Q46" s="24">
        <v>46164</v>
      </c>
      <c r="R46" s="16">
        <v>5</v>
      </c>
    </row>
    <row r="47" spans="1:18" ht="100.8" x14ac:dyDescent="0.3">
      <c r="A47" s="16" t="s">
        <v>79</v>
      </c>
      <c r="B47" s="16" t="s">
        <v>165</v>
      </c>
      <c r="C47" s="16" t="s">
        <v>166</v>
      </c>
      <c r="D47" s="16">
        <v>452538</v>
      </c>
      <c r="E47" s="16" t="s">
        <v>24</v>
      </c>
      <c r="F47" s="24">
        <v>46171</v>
      </c>
      <c r="G47" s="24" t="s">
        <v>87</v>
      </c>
      <c r="H47" s="17" t="s">
        <v>176</v>
      </c>
      <c r="I47" s="57" t="s">
        <v>177</v>
      </c>
      <c r="J47" s="19">
        <v>6.9444444444444441E-3</v>
      </c>
      <c r="K47" s="19">
        <v>3.4722222222222224E-2</v>
      </c>
      <c r="L47" s="21">
        <f>CRF_35[[#This Row],[Time Spent on Configuration]]+CRF_35[[#This Row],[Time Spent on Review/Testing]]</f>
        <v>4.1666666666666671E-2</v>
      </c>
      <c r="N47" s="16" t="s">
        <v>43</v>
      </c>
      <c r="O47" s="16" t="s">
        <v>37</v>
      </c>
      <c r="P47" s="16" t="s">
        <v>114</v>
      </c>
      <c r="Q47" s="24">
        <v>46171</v>
      </c>
      <c r="R47" s="16">
        <v>5</v>
      </c>
    </row>
    <row r="48" spans="1:18" ht="216" x14ac:dyDescent="0.3">
      <c r="A48" s="16" t="s">
        <v>21</v>
      </c>
      <c r="B48" s="16" t="s">
        <v>115</v>
      </c>
      <c r="C48" s="16" t="s">
        <v>116</v>
      </c>
      <c r="D48" s="16">
        <v>465531</v>
      </c>
      <c r="E48" s="16" t="s">
        <v>24</v>
      </c>
      <c r="F48" s="24">
        <v>46178</v>
      </c>
      <c r="G48" s="24" t="s">
        <v>81</v>
      </c>
      <c r="H48" s="17" t="s">
        <v>178</v>
      </c>
      <c r="I48" s="57" t="s">
        <v>179</v>
      </c>
      <c r="J48" s="19">
        <v>3.125E-2</v>
      </c>
      <c r="K48" s="19">
        <v>7.2916666666666671E-2</v>
      </c>
      <c r="L48" s="21">
        <f>CRF_35[[#This Row],[Time Spent on Configuration]]+CRF_35[[#This Row],[Time Spent on Review/Testing]]</f>
        <v>0.10416666666666667</v>
      </c>
      <c r="N48" s="16" t="s">
        <v>43</v>
      </c>
      <c r="O48" s="16" t="s">
        <v>37</v>
      </c>
      <c r="P48" s="16" t="s">
        <v>114</v>
      </c>
      <c r="Q48" s="24">
        <v>46178</v>
      </c>
      <c r="R48" s="16">
        <v>5</v>
      </c>
    </row>
    <row r="49" spans="1:18" ht="158.4" x14ac:dyDescent="0.3">
      <c r="A49" s="16" t="s">
        <v>21</v>
      </c>
      <c r="B49" s="16" t="s">
        <v>162</v>
      </c>
      <c r="C49" s="16" t="s">
        <v>120</v>
      </c>
      <c r="D49" s="16">
        <v>469160</v>
      </c>
      <c r="E49" s="16" t="s">
        <v>24</v>
      </c>
      <c r="F49" s="24">
        <v>46185</v>
      </c>
      <c r="G49" s="24" t="s">
        <v>46</v>
      </c>
      <c r="H49" s="17" t="s">
        <v>180</v>
      </c>
      <c r="I49" s="17" t="s">
        <v>181</v>
      </c>
      <c r="J49" s="19">
        <v>4.1666666666666664E-2</v>
      </c>
      <c r="K49" s="19">
        <v>5.5555555555555552E-2</v>
      </c>
      <c r="L49" s="21">
        <f>CRF_35[[#This Row],[Time Spent on Configuration]]+CRF_35[[#This Row],[Time Spent on Review/Testing]]</f>
        <v>9.722222222222221E-2</v>
      </c>
      <c r="N49" s="16" t="s">
        <v>56</v>
      </c>
      <c r="O49" s="16" t="s">
        <v>29</v>
      </c>
      <c r="P49" s="16" t="s">
        <v>114</v>
      </c>
      <c r="Q49" s="24">
        <v>46185</v>
      </c>
      <c r="R49" s="16">
        <v>4</v>
      </c>
    </row>
    <row r="50" spans="1:18" ht="187.2" x14ac:dyDescent="0.3">
      <c r="A50" s="16" t="s">
        <v>21</v>
      </c>
      <c r="B50" s="16" t="s">
        <v>115</v>
      </c>
      <c r="C50" s="16" t="s">
        <v>116</v>
      </c>
      <c r="D50" s="16">
        <v>465531</v>
      </c>
      <c r="E50" s="16" t="s">
        <v>40</v>
      </c>
      <c r="F50" s="24">
        <v>46185</v>
      </c>
      <c r="G50" s="24" t="s">
        <v>81</v>
      </c>
      <c r="H50" s="17" t="s">
        <v>182</v>
      </c>
      <c r="I50" s="17" t="s">
        <v>183</v>
      </c>
      <c r="J50" s="19">
        <v>4.1666666666666664E-2</v>
      </c>
      <c r="K50" s="19">
        <v>9.7222222222222224E-2</v>
      </c>
      <c r="L50" s="21">
        <f>CRF_35[[#This Row],[Time Spent on Configuration]]+CRF_35[[#This Row],[Time Spent on Review/Testing]]</f>
        <v>0.1388888888888889</v>
      </c>
      <c r="N50" s="16" t="s">
        <v>36</v>
      </c>
      <c r="O50" s="16" t="s">
        <v>29</v>
      </c>
      <c r="P50" s="16" t="s">
        <v>114</v>
      </c>
      <c r="Q50" s="24">
        <v>46185</v>
      </c>
      <c r="R50" s="16">
        <v>5</v>
      </c>
    </row>
    <row r="51" spans="1:18" ht="144" x14ac:dyDescent="0.3">
      <c r="A51" s="16" t="s">
        <v>21</v>
      </c>
      <c r="B51" s="16" t="s">
        <v>144</v>
      </c>
      <c r="C51" s="16" t="s">
        <v>23</v>
      </c>
      <c r="D51" s="16">
        <v>468870</v>
      </c>
      <c r="E51" s="16" t="s">
        <v>40</v>
      </c>
      <c r="F51" s="24">
        <v>46190</v>
      </c>
      <c r="G51" s="24" t="s">
        <v>46</v>
      </c>
      <c r="H51" s="17" t="s">
        <v>184</v>
      </c>
      <c r="I51" s="17" t="s">
        <v>185</v>
      </c>
      <c r="J51" s="19">
        <v>1.0416666666666666E-2</v>
      </c>
      <c r="K51" s="19">
        <v>6.25E-2</v>
      </c>
      <c r="L51" s="21">
        <f>CRF_35[[#This Row],[Time Spent on Configuration]]+CRF_35[[#This Row],[Time Spent on Review/Testing]]</f>
        <v>7.2916666666666671E-2</v>
      </c>
      <c r="N51" s="16" t="s">
        <v>56</v>
      </c>
      <c r="O51" s="16" t="s">
        <v>37</v>
      </c>
      <c r="P51" s="16" t="s">
        <v>114</v>
      </c>
      <c r="Q51" s="24">
        <v>46190</v>
      </c>
      <c r="R51" s="16">
        <v>5</v>
      </c>
    </row>
    <row r="52" spans="1:18" ht="28.8" x14ac:dyDescent="0.3">
      <c r="A52" s="16" t="s">
        <v>21</v>
      </c>
      <c r="B52" s="16" t="s">
        <v>165</v>
      </c>
      <c r="C52" s="16" t="s">
        <v>166</v>
      </c>
      <c r="D52" s="16">
        <v>470879</v>
      </c>
      <c r="E52" s="16" t="s">
        <v>40</v>
      </c>
      <c r="F52" s="24">
        <v>46203</v>
      </c>
      <c r="G52" s="24" t="s">
        <v>25</v>
      </c>
      <c r="H52" s="17" t="s">
        <v>186</v>
      </c>
      <c r="I52" s="17" t="s">
        <v>187</v>
      </c>
      <c r="J52" s="19">
        <v>6.9444444444444441E-3</v>
      </c>
      <c r="K52" s="19">
        <v>2.0833333333333332E-2</v>
      </c>
      <c r="L52" s="21">
        <f>CRF_35[[#This Row],[Time Spent on Configuration]]+CRF_35[[#This Row],[Time Spent on Review/Testing]]</f>
        <v>2.7777777777777776E-2</v>
      </c>
      <c r="N52" s="16" t="s">
        <v>43</v>
      </c>
      <c r="O52" s="16" t="s">
        <v>29</v>
      </c>
      <c r="P52" s="16" t="s">
        <v>114</v>
      </c>
      <c r="Q52" s="24">
        <v>46203</v>
      </c>
      <c r="R52" s="16">
        <v>5</v>
      </c>
    </row>
    <row r="53" spans="1:18" ht="158.4" x14ac:dyDescent="0.3">
      <c r="A53" s="16" t="s">
        <v>99</v>
      </c>
      <c r="B53" s="16" t="s">
        <v>132</v>
      </c>
      <c r="C53" s="16" t="s">
        <v>120</v>
      </c>
      <c r="D53" s="16">
        <v>471200</v>
      </c>
      <c r="E53" s="16" t="s">
        <v>40</v>
      </c>
      <c r="F53" s="24">
        <v>46210</v>
      </c>
      <c r="G53" s="24" t="s">
        <v>25</v>
      </c>
      <c r="H53" s="17" t="s">
        <v>188</v>
      </c>
      <c r="I53" s="17" t="s">
        <v>189</v>
      </c>
      <c r="J53" s="19">
        <v>1.3888888888888888E-2</v>
      </c>
      <c r="K53" s="19">
        <v>6.25E-2</v>
      </c>
      <c r="L53" s="21">
        <f>CRF_35[[#This Row],[Time Spent on Configuration]]+CRF_35[[#This Row],[Time Spent on Review/Testing]]</f>
        <v>7.6388888888888895E-2</v>
      </c>
      <c r="N53" s="16" t="s">
        <v>43</v>
      </c>
      <c r="O53" s="16" t="s">
        <v>29</v>
      </c>
      <c r="P53" s="16" t="s">
        <v>114</v>
      </c>
      <c r="Q53" s="24">
        <v>46210</v>
      </c>
      <c r="R53" s="16">
        <v>5</v>
      </c>
    </row>
    <row r="54" spans="1:18" ht="72" x14ac:dyDescent="0.3">
      <c r="A54" s="16" t="s">
        <v>99</v>
      </c>
      <c r="B54" s="16" t="s">
        <v>138</v>
      </c>
      <c r="C54" s="16" t="s">
        <v>120</v>
      </c>
      <c r="D54" s="16">
        <v>466867</v>
      </c>
      <c r="E54" s="16" t="s">
        <v>40</v>
      </c>
      <c r="F54" s="24">
        <v>46211</v>
      </c>
      <c r="G54" s="24" t="s">
        <v>46</v>
      </c>
      <c r="H54" s="17" t="s">
        <v>190</v>
      </c>
      <c r="I54" s="57" t="s">
        <v>191</v>
      </c>
      <c r="J54" s="19">
        <v>6.9444444444444441E-3</v>
      </c>
      <c r="K54" s="19">
        <v>2.0833333333333332E-2</v>
      </c>
      <c r="L54" s="21">
        <f>CRF_35[[#This Row],[Time Spent on Configuration]]+CRF_35[[#This Row],[Time Spent on Review/Testing]]</f>
        <v>2.7777777777777776E-2</v>
      </c>
      <c r="N54" s="16" t="s">
        <v>56</v>
      </c>
      <c r="O54" s="16" t="s">
        <v>29</v>
      </c>
      <c r="P54" s="16" t="s">
        <v>114</v>
      </c>
      <c r="Q54" s="24">
        <v>46211</v>
      </c>
      <c r="R54" s="16">
        <v>5</v>
      </c>
    </row>
    <row r="55" spans="1:18" ht="172.8" x14ac:dyDescent="0.3">
      <c r="A55" s="16" t="s">
        <v>99</v>
      </c>
      <c r="B55" s="16" t="s">
        <v>192</v>
      </c>
      <c r="C55" s="16" t="s">
        <v>120</v>
      </c>
      <c r="D55" s="16">
        <v>461932</v>
      </c>
      <c r="E55" s="16" t="s">
        <v>24</v>
      </c>
      <c r="F55" s="24">
        <v>46212</v>
      </c>
      <c r="G55" s="24" t="s">
        <v>193</v>
      </c>
      <c r="H55" s="17" t="s">
        <v>194</v>
      </c>
      <c r="I55" s="57" t="s">
        <v>195</v>
      </c>
      <c r="J55" s="19">
        <v>6.25E-2</v>
      </c>
      <c r="K55" s="19">
        <v>5.5555555555555552E-2</v>
      </c>
      <c r="L55" s="21">
        <f>CRF_35[[#This Row],[Time Spent on Configuration]]+CRF_35[[#This Row],[Time Spent on Review/Testing]]</f>
        <v>0.11805555555555555</v>
      </c>
      <c r="N55" s="16" t="s">
        <v>56</v>
      </c>
      <c r="O55" s="16" t="s">
        <v>37</v>
      </c>
      <c r="P55" s="16" t="s">
        <v>114</v>
      </c>
      <c r="Q55" s="24">
        <v>46212</v>
      </c>
      <c r="R55" s="16">
        <v>5</v>
      </c>
    </row>
    <row r="56" spans="1:18" ht="187.2" x14ac:dyDescent="0.3">
      <c r="A56" s="16" t="s">
        <v>99</v>
      </c>
      <c r="B56" s="16" t="s">
        <v>196</v>
      </c>
      <c r="C56" s="16" t="s">
        <v>120</v>
      </c>
      <c r="D56" s="16">
        <v>472018</v>
      </c>
      <c r="E56" s="16" t="s">
        <v>40</v>
      </c>
      <c r="F56" s="24">
        <v>46212</v>
      </c>
      <c r="G56" s="24" t="s">
        <v>46</v>
      </c>
      <c r="H56" s="17" t="s">
        <v>197</v>
      </c>
      <c r="I56" s="17" t="s">
        <v>198</v>
      </c>
      <c r="J56" s="19">
        <v>6.9444444444444441E-3</v>
      </c>
      <c r="K56" s="19">
        <v>2.0833333333333332E-2</v>
      </c>
      <c r="L56" s="21">
        <f>CRF_35[[#This Row],[Time Spent on Configuration]]+CRF_35[[#This Row],[Time Spent on Review/Testing]]</f>
        <v>2.7777777777777776E-2</v>
      </c>
      <c r="N56" s="16" t="s">
        <v>56</v>
      </c>
      <c r="O56" s="16" t="s">
        <v>37</v>
      </c>
      <c r="P56" s="16" t="s">
        <v>114</v>
      </c>
      <c r="Q56" s="24">
        <v>46216</v>
      </c>
      <c r="R56" s="16">
        <v>4</v>
      </c>
    </row>
    <row r="57" spans="1:18" ht="409.6" x14ac:dyDescent="0.3">
      <c r="A57" s="16" t="s">
        <v>99</v>
      </c>
      <c r="B57" s="16" t="s">
        <v>132</v>
      </c>
      <c r="C57" s="16" t="s">
        <v>120</v>
      </c>
      <c r="D57" s="16">
        <v>470401</v>
      </c>
      <c r="E57" s="16" t="s">
        <v>40</v>
      </c>
      <c r="F57" s="24">
        <v>46217</v>
      </c>
      <c r="G57" s="24" t="s">
        <v>81</v>
      </c>
      <c r="H57" s="17" t="s">
        <v>199</v>
      </c>
      <c r="I57" s="57" t="s">
        <v>200</v>
      </c>
      <c r="J57" s="19">
        <v>2.8472222222222222E-2</v>
      </c>
      <c r="K57" s="19">
        <v>7.6388888888888895E-2</v>
      </c>
      <c r="L57" s="21">
        <f>CRF_35[[#This Row],[Time Spent on Configuration]]+CRF_35[[#This Row],[Time Spent on Review/Testing]]</f>
        <v>0.10486111111111111</v>
      </c>
      <c r="N57" s="16" t="s">
        <v>56</v>
      </c>
      <c r="O57" s="16" t="s">
        <v>37</v>
      </c>
      <c r="P57" s="16" t="s">
        <v>114</v>
      </c>
      <c r="Q57" s="24">
        <v>46217</v>
      </c>
      <c r="R57" s="16">
        <v>4</v>
      </c>
    </row>
    <row r="58" spans="1:18" ht="244.8" x14ac:dyDescent="0.3">
      <c r="A58" s="16" t="s">
        <v>99</v>
      </c>
      <c r="B58" s="16" t="s">
        <v>39</v>
      </c>
      <c r="C58" s="16" t="s">
        <v>23</v>
      </c>
      <c r="D58" s="16">
        <v>469951</v>
      </c>
      <c r="E58" s="16" t="s">
        <v>40</v>
      </c>
      <c r="F58" s="24">
        <v>46217</v>
      </c>
      <c r="G58" s="24" t="s">
        <v>46</v>
      </c>
      <c r="H58" s="17" t="s">
        <v>201</v>
      </c>
      <c r="I58" s="17" t="s">
        <v>202</v>
      </c>
      <c r="J58" s="19">
        <v>2.0833333333333332E-2</v>
      </c>
      <c r="K58" s="19">
        <v>6.25E-2</v>
      </c>
      <c r="L58" s="21">
        <f>CRF_35[[#This Row],[Time Spent on Configuration]]+CRF_35[[#This Row],[Time Spent on Review/Testing]]</f>
        <v>8.3333333333333329E-2</v>
      </c>
      <c r="N58" s="16" t="s">
        <v>43</v>
      </c>
      <c r="O58" s="16" t="s">
        <v>37</v>
      </c>
      <c r="P58" s="16" t="s">
        <v>38</v>
      </c>
      <c r="Q58" s="24">
        <v>46217</v>
      </c>
      <c r="R58" s="16">
        <v>5</v>
      </c>
    </row>
    <row r="59" spans="1:18" ht="86.4" x14ac:dyDescent="0.3">
      <c r="A59" s="16" t="s">
        <v>99</v>
      </c>
      <c r="B59" s="16" t="s">
        <v>144</v>
      </c>
      <c r="C59" s="16" t="s">
        <v>23</v>
      </c>
      <c r="D59" s="16">
        <v>468870</v>
      </c>
      <c r="E59" s="16" t="s">
        <v>203</v>
      </c>
      <c r="F59" s="24">
        <v>46223</v>
      </c>
      <c r="G59" s="24" t="s">
        <v>46</v>
      </c>
      <c r="H59" s="17" t="s">
        <v>204</v>
      </c>
      <c r="I59" s="61" t="s">
        <v>205</v>
      </c>
      <c r="J59" s="19">
        <v>2.0833333333333332E-2</v>
      </c>
      <c r="K59" s="19">
        <v>3.4722222222222224E-2</v>
      </c>
      <c r="L59" s="21">
        <f>CRF_35[[#This Row],[Time Spent on Configuration]]+CRF_35[[#This Row],[Time Spent on Review/Testing]]</f>
        <v>5.5555555555555552E-2</v>
      </c>
      <c r="N59" s="16" t="s">
        <v>43</v>
      </c>
      <c r="O59" s="16" t="s">
        <v>37</v>
      </c>
      <c r="P59" s="16" t="s">
        <v>38</v>
      </c>
      <c r="Q59" s="24">
        <v>46223</v>
      </c>
      <c r="R59" s="16">
        <v>5</v>
      </c>
    </row>
    <row r="60" spans="1:18" ht="43.2" x14ac:dyDescent="0.3">
      <c r="A60" s="16" t="s">
        <v>99</v>
      </c>
      <c r="B60" s="16" t="s">
        <v>206</v>
      </c>
      <c r="C60" s="16" t="s">
        <v>120</v>
      </c>
      <c r="D60" s="16">
        <v>466867</v>
      </c>
      <c r="E60" s="16" t="s">
        <v>40</v>
      </c>
      <c r="F60" s="24">
        <v>46223</v>
      </c>
      <c r="G60" s="24" t="s">
        <v>81</v>
      </c>
      <c r="H60" s="17" t="s">
        <v>207</v>
      </c>
      <c r="I60" s="57" t="s">
        <v>208</v>
      </c>
      <c r="J60" s="19">
        <v>2.0833333333333332E-2</v>
      </c>
      <c r="K60" s="19">
        <v>6.25E-2</v>
      </c>
      <c r="L60" s="21">
        <f>CRF_35[[#This Row],[Time Spent on Configuration]]+CRF_35[[#This Row],[Time Spent on Review/Testing]]</f>
        <v>8.3333333333333329E-2</v>
      </c>
      <c r="N60" s="16" t="s">
        <v>43</v>
      </c>
      <c r="O60" s="16" t="s">
        <v>29</v>
      </c>
      <c r="P60" s="16" t="s">
        <v>114</v>
      </c>
      <c r="Q60" s="24">
        <v>46223</v>
      </c>
      <c r="R60" s="16">
        <v>5</v>
      </c>
    </row>
    <row r="61" spans="1:18" ht="216" x14ac:dyDescent="0.3">
      <c r="A61" s="16" t="s">
        <v>99</v>
      </c>
      <c r="B61" s="16" t="s">
        <v>141</v>
      </c>
      <c r="C61" s="16" t="s">
        <v>120</v>
      </c>
      <c r="D61" s="16">
        <v>473436</v>
      </c>
      <c r="E61" s="16" t="s">
        <v>40</v>
      </c>
      <c r="F61" s="24">
        <v>46226</v>
      </c>
      <c r="G61" s="24" t="s">
        <v>81</v>
      </c>
      <c r="H61" s="17" t="s">
        <v>209</v>
      </c>
      <c r="I61" s="57" t="s">
        <v>210</v>
      </c>
      <c r="J61" s="19">
        <v>2.5000000000000001E-2</v>
      </c>
      <c r="K61" s="19">
        <v>6.9444444444444448E-2</v>
      </c>
      <c r="L61" s="21">
        <f>CRF_35[[#This Row],[Time Spent on Configuration]]+CRF_35[[#This Row],[Time Spent on Review/Testing]]</f>
        <v>9.4444444444444442E-2</v>
      </c>
      <c r="N61" s="16" t="s">
        <v>56</v>
      </c>
      <c r="O61" s="16" t="s">
        <v>37</v>
      </c>
      <c r="P61" s="16" t="s">
        <v>114</v>
      </c>
      <c r="Q61" s="24">
        <v>46226</v>
      </c>
      <c r="R61" s="16">
        <v>5</v>
      </c>
    </row>
    <row r="62" spans="1:18" ht="244.8" x14ac:dyDescent="0.3">
      <c r="A62" s="16" t="s">
        <v>99</v>
      </c>
      <c r="B62" s="16" t="s">
        <v>138</v>
      </c>
      <c r="C62" s="16" t="s">
        <v>120</v>
      </c>
      <c r="D62" s="16">
        <v>473783</v>
      </c>
      <c r="E62" s="16" t="s">
        <v>40</v>
      </c>
      <c r="F62" s="24">
        <v>46226</v>
      </c>
      <c r="G62" s="24" t="s">
        <v>81</v>
      </c>
      <c r="H62" s="17" t="s">
        <v>211</v>
      </c>
      <c r="I62" s="57" t="s">
        <v>212</v>
      </c>
      <c r="J62" s="19">
        <v>1.7361111111111112E-2</v>
      </c>
      <c r="K62" s="19">
        <v>7.2916666666666671E-2</v>
      </c>
      <c r="L62" s="21">
        <f>CRF_35[[#This Row],[Time Spent on Configuration]]+CRF_35[[#This Row],[Time Spent on Review/Testing]]</f>
        <v>9.027777777777779E-2</v>
      </c>
      <c r="N62" s="16" t="s">
        <v>56</v>
      </c>
      <c r="O62" s="16" t="s">
        <v>37</v>
      </c>
      <c r="P62" s="16" t="s">
        <v>114</v>
      </c>
      <c r="Q62" s="24">
        <v>46226</v>
      </c>
      <c r="R62" s="16">
        <v>5</v>
      </c>
    </row>
    <row r="63" spans="1:18" ht="100.8" x14ac:dyDescent="0.3">
      <c r="A63" s="16" t="s">
        <v>99</v>
      </c>
      <c r="B63" s="16" t="s">
        <v>213</v>
      </c>
      <c r="C63" s="16" t="s">
        <v>120</v>
      </c>
      <c r="D63" s="16">
        <v>474096</v>
      </c>
      <c r="E63" s="16" t="s">
        <v>40</v>
      </c>
      <c r="F63" s="24">
        <v>46232</v>
      </c>
      <c r="G63" s="24" t="s">
        <v>46</v>
      </c>
      <c r="H63" s="17" t="s">
        <v>214</v>
      </c>
      <c r="I63" s="17" t="s">
        <v>215</v>
      </c>
      <c r="J63" s="19">
        <v>8.819444444444445E-2</v>
      </c>
      <c r="K63" s="19">
        <v>7.2916666666666671E-2</v>
      </c>
      <c r="L63" s="21">
        <f>CRF_35[[#This Row],[Time Spent on Configuration]]+CRF_35[[#This Row],[Time Spent on Review/Testing]]</f>
        <v>0.16111111111111112</v>
      </c>
      <c r="N63" s="16" t="s">
        <v>56</v>
      </c>
      <c r="O63" s="16" t="s">
        <v>37</v>
      </c>
      <c r="P63" s="16" t="s">
        <v>114</v>
      </c>
      <c r="Q63" s="24">
        <v>46232</v>
      </c>
      <c r="R63" s="16">
        <v>5</v>
      </c>
    </row>
    <row r="64" spans="1:18" ht="100.8" x14ac:dyDescent="0.3">
      <c r="A64" s="16" t="s">
        <v>216</v>
      </c>
      <c r="B64" s="16" t="s">
        <v>217</v>
      </c>
      <c r="C64" s="16" t="s">
        <v>23</v>
      </c>
      <c r="D64" s="16">
        <v>474659</v>
      </c>
      <c r="E64" s="16" t="s">
        <v>24</v>
      </c>
      <c r="F64" s="24">
        <v>46238</v>
      </c>
      <c r="G64" s="24" t="s">
        <v>46</v>
      </c>
      <c r="H64" s="17" t="s">
        <v>218</v>
      </c>
      <c r="I64" s="17" t="s">
        <v>219</v>
      </c>
      <c r="J64" s="19">
        <v>2.7777777777777776E-2</v>
      </c>
      <c r="K64" s="19">
        <v>2.0833333333333332E-2</v>
      </c>
      <c r="L64" s="21">
        <f>CRF_35[[#This Row],[Time Spent on Configuration]]+CRF_35[[#This Row],[Time Spent on Review/Testing]]</f>
        <v>4.8611111111111105E-2</v>
      </c>
      <c r="N64" s="16" t="s">
        <v>37</v>
      </c>
      <c r="O64" s="16" t="s">
        <v>29</v>
      </c>
      <c r="P64" s="16" t="s">
        <v>114</v>
      </c>
      <c r="Q64" s="24">
        <v>46239</v>
      </c>
      <c r="R64" s="16">
        <v>5</v>
      </c>
    </row>
    <row r="65" spans="1:18" ht="172.8" x14ac:dyDescent="0.3">
      <c r="A65" s="16" t="s">
        <v>216</v>
      </c>
      <c r="B65" s="16" t="s">
        <v>109</v>
      </c>
      <c r="C65" s="16" t="s">
        <v>110</v>
      </c>
      <c r="D65" s="16">
        <v>467385</v>
      </c>
      <c r="E65" s="16" t="s">
        <v>40</v>
      </c>
      <c r="F65" s="24">
        <v>46240</v>
      </c>
      <c r="G65" s="24" t="s">
        <v>46</v>
      </c>
      <c r="H65" s="17" t="s">
        <v>220</v>
      </c>
      <c r="I65" s="17" t="s">
        <v>221</v>
      </c>
      <c r="J65" s="19">
        <v>5.5555555555555558E-3</v>
      </c>
      <c r="K65" s="19">
        <v>2.0833333333333332E-2</v>
      </c>
      <c r="L65" s="21">
        <f>CRF_35[[#This Row],[Time Spent on Configuration]]+CRF_35[[#This Row],[Time Spent on Review/Testing]]</f>
        <v>2.6388888888888889E-2</v>
      </c>
      <c r="N65" s="16" t="s">
        <v>43</v>
      </c>
      <c r="O65" s="16" t="s">
        <v>37</v>
      </c>
      <c r="P65" s="16" t="s">
        <v>114</v>
      </c>
      <c r="Q65" s="24">
        <v>46240</v>
      </c>
      <c r="R65" s="16">
        <v>5</v>
      </c>
    </row>
    <row r="66" spans="1:18" ht="172.8" x14ac:dyDescent="0.3">
      <c r="A66" s="16" t="s">
        <v>216</v>
      </c>
      <c r="B66" s="16" t="s">
        <v>44</v>
      </c>
      <c r="C66" s="16" t="s">
        <v>45</v>
      </c>
      <c r="D66" s="16">
        <v>473609</v>
      </c>
      <c r="E66" s="16" t="s">
        <v>40</v>
      </c>
      <c r="F66" s="24">
        <v>46240</v>
      </c>
      <c r="G66" s="24" t="s">
        <v>46</v>
      </c>
      <c r="H66" s="17" t="s">
        <v>222</v>
      </c>
      <c r="I66" s="17" t="s">
        <v>223</v>
      </c>
      <c r="J66" s="19">
        <v>2.7777777777777776E-2</v>
      </c>
      <c r="K66" s="19">
        <v>3.4722222222222224E-2</v>
      </c>
      <c r="L66" s="21">
        <f>CRF_35[[#This Row],[Time Spent on Configuration]]+CRF_35[[#This Row],[Time Spent on Review/Testing]]</f>
        <v>6.25E-2</v>
      </c>
      <c r="N66" s="16" t="s">
        <v>43</v>
      </c>
      <c r="O66" s="16" t="s">
        <v>37</v>
      </c>
      <c r="P66" s="16" t="s">
        <v>38</v>
      </c>
      <c r="Q66" s="24">
        <v>46240</v>
      </c>
      <c r="R66" s="16">
        <v>5</v>
      </c>
    </row>
    <row r="67" spans="1:18" ht="409.6" x14ac:dyDescent="0.3">
      <c r="A67" s="16" t="s">
        <v>216</v>
      </c>
      <c r="B67" s="16" t="s">
        <v>32</v>
      </c>
      <c r="C67" s="16" t="s">
        <v>23</v>
      </c>
      <c r="D67" s="16">
        <v>473546</v>
      </c>
      <c r="E67" s="16" t="s">
        <v>24</v>
      </c>
      <c r="F67" s="24">
        <v>46241</v>
      </c>
      <c r="G67" s="24" t="s">
        <v>46</v>
      </c>
      <c r="H67" s="17" t="s">
        <v>224</v>
      </c>
      <c r="I67" s="17" t="s">
        <v>225</v>
      </c>
      <c r="J67" s="19">
        <v>4.0972222222222222E-2</v>
      </c>
      <c r="K67" s="19">
        <v>5.5555555555555552E-2</v>
      </c>
      <c r="L67" s="21">
        <f>CRF_35[[#This Row],[Time Spent on Configuration]]+CRF_35[[#This Row],[Time Spent on Review/Testing]]</f>
        <v>9.6527777777777768E-2</v>
      </c>
      <c r="N67" s="16" t="s">
        <v>43</v>
      </c>
      <c r="O67" s="16" t="s">
        <v>37</v>
      </c>
      <c r="P67" s="16" t="s">
        <v>38</v>
      </c>
      <c r="Q67" s="24">
        <v>46241</v>
      </c>
      <c r="R67" s="16">
        <v>5</v>
      </c>
    </row>
    <row r="68" spans="1:18" ht="302.39999999999998" x14ac:dyDescent="0.3">
      <c r="A68" s="16" t="s">
        <v>216</v>
      </c>
      <c r="B68" s="16" t="s">
        <v>129</v>
      </c>
      <c r="C68" s="16" t="s">
        <v>120</v>
      </c>
      <c r="D68" s="16">
        <v>473351</v>
      </c>
      <c r="E68" s="16" t="s">
        <v>40</v>
      </c>
      <c r="F68" s="24">
        <v>46245</v>
      </c>
      <c r="G68" s="24" t="s">
        <v>46</v>
      </c>
      <c r="H68" s="17" t="s">
        <v>226</v>
      </c>
      <c r="I68" s="17" t="s">
        <v>227</v>
      </c>
      <c r="J68" s="19">
        <v>2.0833333333333332E-2</v>
      </c>
      <c r="K68" s="19">
        <v>5.5555555555555552E-2</v>
      </c>
      <c r="L68" s="21">
        <f>CRF_35[[#This Row],[Time Spent on Configuration]]+CRF_35[[#This Row],[Time Spent on Review/Testing]]</f>
        <v>7.6388888888888881E-2</v>
      </c>
      <c r="N68" s="16" t="s">
        <v>36</v>
      </c>
      <c r="O68" s="16" t="s">
        <v>29</v>
      </c>
      <c r="P68" s="16" t="s">
        <v>114</v>
      </c>
      <c r="Q68" s="24">
        <v>46245</v>
      </c>
      <c r="R68" s="16">
        <v>5</v>
      </c>
    </row>
    <row r="69" spans="1:18" ht="129.6" x14ac:dyDescent="0.3">
      <c r="A69" s="16" t="s">
        <v>216</v>
      </c>
      <c r="B69" s="16" t="s">
        <v>123</v>
      </c>
      <c r="C69" s="16" t="s">
        <v>23</v>
      </c>
      <c r="D69" s="16">
        <v>476145</v>
      </c>
      <c r="E69" s="16" t="s">
        <v>24</v>
      </c>
      <c r="F69" s="24">
        <v>46246</v>
      </c>
      <c r="G69" s="24" t="s">
        <v>46</v>
      </c>
      <c r="H69" s="17" t="s">
        <v>228</v>
      </c>
      <c r="I69" s="17" t="s">
        <v>229</v>
      </c>
      <c r="J69" s="19">
        <v>2.0833333333333332E-2</v>
      </c>
      <c r="K69" s="19">
        <v>4.5138888888888888E-2</v>
      </c>
      <c r="L69" s="21">
        <f>CRF_35[[#This Row],[Time Spent on Configuration]]+CRF_35[[#This Row],[Time Spent on Review/Testing]]</f>
        <v>6.5972222222222224E-2</v>
      </c>
      <c r="N69" s="16" t="s">
        <v>37</v>
      </c>
      <c r="O69" s="16" t="s">
        <v>29</v>
      </c>
      <c r="P69" s="16" t="s">
        <v>114</v>
      </c>
      <c r="Q69" s="24">
        <v>46247</v>
      </c>
      <c r="R69" s="16">
        <v>5</v>
      </c>
    </row>
    <row r="70" spans="1:18" ht="43.2" x14ac:dyDescent="0.3">
      <c r="A70" s="16" t="s">
        <v>216</v>
      </c>
      <c r="B70" s="16" t="s">
        <v>230</v>
      </c>
      <c r="C70" s="16" t="s">
        <v>23</v>
      </c>
      <c r="D70" s="16">
        <v>476175</v>
      </c>
      <c r="E70" s="16" t="s">
        <v>24</v>
      </c>
      <c r="F70" s="24">
        <v>46247</v>
      </c>
      <c r="G70" s="24" t="s">
        <v>231</v>
      </c>
      <c r="H70" s="17" t="s">
        <v>232</v>
      </c>
      <c r="I70" s="57" t="s">
        <v>233</v>
      </c>
      <c r="J70" s="19">
        <v>1.7361111111111112E-2</v>
      </c>
      <c r="K70" s="19">
        <v>4.1666666666666664E-2</v>
      </c>
      <c r="L70" s="21">
        <f>CRF_35[[#This Row],[Time Spent on Configuration]]+CRF_35[[#This Row],[Time Spent on Review/Testing]]</f>
        <v>5.9027777777777776E-2</v>
      </c>
      <c r="N70" s="16" t="s">
        <v>56</v>
      </c>
      <c r="O70" s="16" t="s">
        <v>37</v>
      </c>
      <c r="P70" s="16" t="s">
        <v>114</v>
      </c>
      <c r="Q70" s="24">
        <v>46247</v>
      </c>
      <c r="R70" s="16">
        <v>5</v>
      </c>
    </row>
    <row r="71" spans="1:18" ht="43.2" x14ac:dyDescent="0.3">
      <c r="A71" s="16" t="s">
        <v>216</v>
      </c>
      <c r="B71" s="16" t="s">
        <v>234</v>
      </c>
      <c r="C71" s="16" t="s">
        <v>120</v>
      </c>
      <c r="D71" s="16">
        <v>476871</v>
      </c>
      <c r="E71" s="16" t="s">
        <v>24</v>
      </c>
      <c r="F71" s="24">
        <v>46253</v>
      </c>
      <c r="G71" s="24" t="s">
        <v>25</v>
      </c>
      <c r="H71" s="17" t="s">
        <v>235</v>
      </c>
      <c r="I71" s="57" t="s">
        <v>236</v>
      </c>
      <c r="J71" s="19">
        <v>2.0833333333333332E-2</v>
      </c>
      <c r="K71" s="19">
        <v>4.1666666666666664E-2</v>
      </c>
      <c r="L71" s="21">
        <f>CRF_35[[#This Row],[Time Spent on Configuration]]+CRF_35[[#This Row],[Time Spent on Review/Testing]]</f>
        <v>6.25E-2</v>
      </c>
      <c r="N71" s="16" t="s">
        <v>56</v>
      </c>
      <c r="O71" s="16" t="s">
        <v>29</v>
      </c>
      <c r="P71" s="16" t="s">
        <v>114</v>
      </c>
      <c r="Q71" s="24">
        <v>46253</v>
      </c>
      <c r="R71" s="16">
        <v>5</v>
      </c>
    </row>
    <row r="72" spans="1:18" ht="158.4" x14ac:dyDescent="0.3">
      <c r="A72" s="16" t="s">
        <v>216</v>
      </c>
      <c r="B72" s="16" t="s">
        <v>237</v>
      </c>
      <c r="C72" s="16" t="s">
        <v>23</v>
      </c>
      <c r="D72" s="16">
        <v>472173</v>
      </c>
      <c r="E72" s="16" t="s">
        <v>24</v>
      </c>
      <c r="F72" s="24">
        <v>46255</v>
      </c>
      <c r="G72" s="24" t="s">
        <v>238</v>
      </c>
      <c r="H72" s="17" t="s">
        <v>239</v>
      </c>
      <c r="I72" s="57" t="s">
        <v>240</v>
      </c>
      <c r="J72" s="19">
        <v>1.3888888888888888E-2</v>
      </c>
      <c r="K72" s="19">
        <v>4.1666666666666664E-2</v>
      </c>
      <c r="L72" s="21">
        <f>CRF_35[[#This Row],[Time Spent on Configuration]]+CRF_35[[#This Row],[Time Spent on Review/Testing]]</f>
        <v>5.5555555555555552E-2</v>
      </c>
      <c r="N72" s="16" t="s">
        <v>56</v>
      </c>
      <c r="O72" s="16" t="s">
        <v>37</v>
      </c>
      <c r="P72" s="16" t="s">
        <v>38</v>
      </c>
      <c r="Q72" s="24">
        <v>46256</v>
      </c>
      <c r="R72" s="16">
        <v>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F92B-CF6F-4704-BC2F-8012A793589E}">
  <dimension ref="A1:U155"/>
  <sheetViews>
    <sheetView workbookViewId="0">
      <selection activeCell="H120" sqref="H120"/>
    </sheetView>
  </sheetViews>
  <sheetFormatPr defaultColWidth="9.109375" defaultRowHeight="14.4" x14ac:dyDescent="0.3"/>
  <cols>
    <col min="1" max="1" width="10.88671875" style="16" bestFit="1" customWidth="1"/>
    <col min="2" max="2" width="24.6640625" style="17" customWidth="1"/>
    <col min="3" max="3" width="13.5546875" style="16" customWidth="1"/>
    <col min="4" max="4" width="13.109375" style="16" customWidth="1"/>
    <col min="5" max="5" width="13.33203125" style="16" customWidth="1"/>
    <col min="6" max="6" width="14.88671875" style="16" customWidth="1"/>
    <col min="7" max="7" width="13.33203125" style="16" customWidth="1"/>
    <col min="8" max="8" width="43.88671875" customWidth="1"/>
    <col min="9" max="9" width="43.88671875" style="17" customWidth="1"/>
    <col min="10" max="10" width="13.88671875" style="17" bestFit="1" customWidth="1"/>
    <col min="11" max="11" width="17.33203125" style="16" bestFit="1" customWidth="1"/>
    <col min="12" max="12" width="10.33203125" style="16" bestFit="1" customWidth="1"/>
    <col min="13" max="13" width="6.44140625" style="16" bestFit="1" customWidth="1"/>
    <col min="14" max="14" width="13.33203125" style="16" customWidth="1"/>
    <col min="15" max="15" width="15" style="16" bestFit="1" customWidth="1"/>
    <col min="16" max="16" width="15.5546875" style="16" customWidth="1"/>
    <col min="17" max="17" width="13.33203125" style="16" bestFit="1" customWidth="1"/>
    <col min="18" max="18" width="8.88671875" style="16" bestFit="1" customWidth="1"/>
    <col min="19" max="19" width="11" style="16" customWidth="1"/>
    <col min="20" max="16384" width="9.109375" style="16"/>
  </cols>
  <sheetData>
    <row r="1" spans="1:21" s="15" customFormat="1" x14ac:dyDescent="0.3">
      <c r="A1" s="12" t="s">
        <v>241</v>
      </c>
      <c r="B1" s="13"/>
      <c r="C1" s="13"/>
      <c r="D1" s="13"/>
      <c r="E1" s="13"/>
      <c r="F1" s="13"/>
      <c r="G1" s="13"/>
      <c r="H1" s="14"/>
      <c r="I1" s="14"/>
      <c r="J1" s="13"/>
      <c r="K1" s="13"/>
      <c r="L1" s="13"/>
      <c r="M1" s="13"/>
      <c r="N1" s="13"/>
      <c r="O1" s="13"/>
      <c r="P1" s="13"/>
      <c r="Q1" s="13"/>
      <c r="R1" s="30"/>
      <c r="S1" s="30"/>
      <c r="T1" s="30"/>
      <c r="U1" s="11"/>
    </row>
    <row r="2" spans="1:21" s="15" customFormat="1" ht="43.2" x14ac:dyDescent="0.3">
      <c r="A2" s="18" t="s">
        <v>1</v>
      </c>
      <c r="B2" s="18" t="s">
        <v>2</v>
      </c>
      <c r="C2" s="18" t="s">
        <v>3</v>
      </c>
      <c r="D2" s="18" t="s">
        <v>4</v>
      </c>
      <c r="E2" s="18" t="s">
        <v>5</v>
      </c>
      <c r="F2" s="18" t="s">
        <v>6</v>
      </c>
      <c r="G2" s="18" t="s">
        <v>7</v>
      </c>
      <c r="H2" s="18" t="s">
        <v>8</v>
      </c>
      <c r="I2" s="18" t="s">
        <v>9</v>
      </c>
      <c r="J2" s="18" t="s">
        <v>10</v>
      </c>
      <c r="K2" s="18" t="s">
        <v>11</v>
      </c>
      <c r="L2" s="18" t="s">
        <v>12</v>
      </c>
      <c r="M2" s="18" t="s">
        <v>13</v>
      </c>
      <c r="N2" s="18" t="s">
        <v>14</v>
      </c>
      <c r="O2" s="18" t="s">
        <v>15</v>
      </c>
      <c r="P2" s="18" t="s">
        <v>16</v>
      </c>
      <c r="Q2" s="18" t="s">
        <v>17</v>
      </c>
      <c r="R2" s="31" t="s">
        <v>18</v>
      </c>
      <c r="S2" s="32" t="s">
        <v>19</v>
      </c>
      <c r="T2" s="33" t="s">
        <v>20</v>
      </c>
      <c r="U2" s="11"/>
    </row>
    <row r="3" spans="1:21" ht="273.60000000000002" hidden="1" x14ac:dyDescent="0.3">
      <c r="A3" s="16" t="s">
        <v>31</v>
      </c>
      <c r="B3" s="17" t="s">
        <v>123</v>
      </c>
      <c r="C3" s="16" t="s">
        <v>23</v>
      </c>
      <c r="D3" s="16">
        <v>404752</v>
      </c>
      <c r="E3" s="16" t="s">
        <v>40</v>
      </c>
      <c r="F3" s="24">
        <v>45660</v>
      </c>
      <c r="G3" s="24" t="s">
        <v>242</v>
      </c>
      <c r="H3" s="17" t="s">
        <v>243</v>
      </c>
      <c r="I3" s="17" t="s">
        <v>244</v>
      </c>
      <c r="J3" s="19">
        <v>4.1666666666666664E-2</v>
      </c>
      <c r="K3" s="19">
        <v>6.9444444444444448E-2</v>
      </c>
      <c r="L3" s="21">
        <f>CRF_3[[#This Row],[Time Spent on Configuration]]+CRF_3[[#This Row],[Time Spent on Review/Testing]]</f>
        <v>0.1111111111111111</v>
      </c>
      <c r="N3" s="16" t="s">
        <v>28</v>
      </c>
      <c r="O3" s="16" t="s">
        <v>245</v>
      </c>
      <c r="P3" s="16" t="s">
        <v>114</v>
      </c>
      <c r="Q3" s="24">
        <v>45660</v>
      </c>
      <c r="R3" s="16">
        <v>5</v>
      </c>
    </row>
    <row r="4" spans="1:21" ht="187.2" hidden="1" x14ac:dyDescent="0.3">
      <c r="A4" s="16" t="s">
        <v>31</v>
      </c>
      <c r="B4" s="17" t="s">
        <v>103</v>
      </c>
      <c r="C4" s="16" t="s">
        <v>104</v>
      </c>
      <c r="D4" s="35" t="s">
        <v>246</v>
      </c>
      <c r="E4" s="16" t="s">
        <v>40</v>
      </c>
      <c r="F4" s="24">
        <v>45663</v>
      </c>
      <c r="G4" s="24" t="s">
        <v>25</v>
      </c>
      <c r="H4" s="17" t="s">
        <v>247</v>
      </c>
      <c r="I4" s="17" t="s">
        <v>247</v>
      </c>
      <c r="J4" s="19">
        <v>4.1666666666666664E-2</v>
      </c>
      <c r="K4" s="19">
        <v>4.1666666666666664E-2</v>
      </c>
      <c r="L4" s="21">
        <f>CRF_3[[#This Row],[Time Spent on Configuration]]+CRF_3[[#This Row],[Time Spent on Review/Testing]]</f>
        <v>8.3333333333333329E-2</v>
      </c>
      <c r="N4" s="16" t="s">
        <v>28</v>
      </c>
      <c r="O4" s="16" t="s">
        <v>29</v>
      </c>
      <c r="P4" s="16" t="s">
        <v>38</v>
      </c>
      <c r="Q4" s="24">
        <v>45663</v>
      </c>
      <c r="R4" s="16">
        <v>5</v>
      </c>
    </row>
    <row r="5" spans="1:21" ht="43.2" hidden="1" x14ac:dyDescent="0.3">
      <c r="A5" s="16" t="s">
        <v>31</v>
      </c>
      <c r="B5" s="17" t="s">
        <v>248</v>
      </c>
      <c r="C5" s="16" t="s">
        <v>23</v>
      </c>
      <c r="D5" s="16">
        <v>405176</v>
      </c>
      <c r="E5" s="16" t="s">
        <v>40</v>
      </c>
      <c r="F5" s="24">
        <v>45664</v>
      </c>
      <c r="G5" s="24" t="s">
        <v>249</v>
      </c>
      <c r="H5" s="17" t="s">
        <v>250</v>
      </c>
      <c r="I5" s="17" t="s">
        <v>251</v>
      </c>
      <c r="J5" s="19">
        <v>2.0833333333333332E-2</v>
      </c>
      <c r="K5" s="19">
        <v>4.1666666666666664E-2</v>
      </c>
      <c r="L5" s="21">
        <f>CRF_3[[#This Row],[Time Spent on Configuration]]+CRF_3[[#This Row],[Time Spent on Review/Testing]]</f>
        <v>6.25E-2</v>
      </c>
      <c r="N5" s="16" t="s">
        <v>36</v>
      </c>
      <c r="O5" s="16" t="s">
        <v>252</v>
      </c>
      <c r="P5" s="16" t="s">
        <v>38</v>
      </c>
      <c r="Q5" s="24">
        <v>45664</v>
      </c>
      <c r="R5" s="16">
        <v>5</v>
      </c>
    </row>
    <row r="6" spans="1:21" ht="244.8" hidden="1" x14ac:dyDescent="0.3">
      <c r="A6" s="16" t="s">
        <v>31</v>
      </c>
      <c r="B6" s="17" t="s">
        <v>103</v>
      </c>
      <c r="C6" s="16" t="s">
        <v>104</v>
      </c>
      <c r="D6" s="35" t="s">
        <v>253</v>
      </c>
      <c r="E6" s="16" t="s">
        <v>40</v>
      </c>
      <c r="F6" s="24">
        <v>45667</v>
      </c>
      <c r="G6" s="24" t="s">
        <v>25</v>
      </c>
      <c r="H6" s="36" t="s">
        <v>254</v>
      </c>
      <c r="I6" s="36" t="s">
        <v>254</v>
      </c>
      <c r="J6" s="19">
        <v>4.1666666666666664E-2</v>
      </c>
      <c r="K6" s="19">
        <v>0</v>
      </c>
      <c r="L6" s="21">
        <f>CRF_3[[#This Row],[Time Spent on Configuration]]+CRF_3[[#This Row],[Time Spent on Review/Testing]]</f>
        <v>4.1666666666666664E-2</v>
      </c>
      <c r="N6" s="16" t="s">
        <v>28</v>
      </c>
      <c r="O6" s="16" t="s">
        <v>29</v>
      </c>
      <c r="P6" s="16" t="s">
        <v>38</v>
      </c>
      <c r="Q6" s="24">
        <v>45667</v>
      </c>
      <c r="R6" s="16">
        <v>5</v>
      </c>
    </row>
    <row r="7" spans="1:21" ht="115.2" hidden="1" x14ac:dyDescent="0.3">
      <c r="A7" s="16" t="s">
        <v>31</v>
      </c>
      <c r="B7" s="17" t="s">
        <v>103</v>
      </c>
      <c r="C7" s="16" t="s">
        <v>104</v>
      </c>
      <c r="D7" s="16">
        <v>405845</v>
      </c>
      <c r="E7" s="16" t="s">
        <v>24</v>
      </c>
      <c r="F7" s="24">
        <v>45672</v>
      </c>
      <c r="G7" s="24" t="s">
        <v>249</v>
      </c>
      <c r="H7" s="17" t="s">
        <v>255</v>
      </c>
      <c r="I7" s="17" t="s">
        <v>256</v>
      </c>
      <c r="J7" s="19">
        <v>2.0833333333333332E-2</v>
      </c>
      <c r="K7" s="19">
        <v>2.7777777777777776E-2</v>
      </c>
      <c r="L7" s="21">
        <f>CRF_3[[#This Row],[Time Spent on Configuration]]+CRF_3[[#This Row],[Time Spent on Review/Testing]]</f>
        <v>4.8611111111111105E-2</v>
      </c>
      <c r="N7" s="16" t="s">
        <v>36</v>
      </c>
      <c r="O7" s="16" t="s">
        <v>29</v>
      </c>
      <c r="P7" s="16" t="s">
        <v>38</v>
      </c>
      <c r="Q7" s="24">
        <v>45672</v>
      </c>
      <c r="R7" s="16">
        <v>5</v>
      </c>
    </row>
    <row r="8" spans="1:21" ht="72" hidden="1" x14ac:dyDescent="0.3">
      <c r="A8" s="16" t="s">
        <v>31</v>
      </c>
      <c r="B8" s="17" t="s">
        <v>44</v>
      </c>
      <c r="C8" s="16" t="s">
        <v>257</v>
      </c>
      <c r="D8" s="16">
        <v>405831</v>
      </c>
      <c r="E8" s="16" t="s">
        <v>40</v>
      </c>
      <c r="F8" s="24">
        <v>45672</v>
      </c>
      <c r="G8" s="24" t="s">
        <v>249</v>
      </c>
      <c r="H8" s="17" t="s">
        <v>258</v>
      </c>
      <c r="I8" s="17" t="s">
        <v>259</v>
      </c>
      <c r="J8" s="19">
        <v>2.0833333333333332E-2</v>
      </c>
      <c r="K8" s="19">
        <v>2.7777777777777776E-2</v>
      </c>
      <c r="L8" s="21">
        <f>CRF_3[[#This Row],[Time Spent on Configuration]]+CRF_3[[#This Row],[Time Spent on Review/Testing]]</f>
        <v>4.8611111111111105E-2</v>
      </c>
      <c r="N8" s="16" t="s">
        <v>36</v>
      </c>
      <c r="O8" s="16" t="s">
        <v>29</v>
      </c>
      <c r="P8" s="16" t="s">
        <v>38</v>
      </c>
      <c r="Q8" s="24">
        <v>45672</v>
      </c>
      <c r="R8" s="16">
        <v>5</v>
      </c>
    </row>
    <row r="9" spans="1:21" ht="100.8" hidden="1" x14ac:dyDescent="0.3">
      <c r="A9" s="16" t="s">
        <v>31</v>
      </c>
      <c r="B9" s="17" t="s">
        <v>32</v>
      </c>
      <c r="C9" s="16" t="s">
        <v>23</v>
      </c>
      <c r="D9" s="16">
        <v>405618</v>
      </c>
      <c r="E9" s="16" t="s">
        <v>24</v>
      </c>
      <c r="F9" s="24">
        <v>45672</v>
      </c>
      <c r="G9" s="24" t="s">
        <v>242</v>
      </c>
      <c r="H9" s="17" t="s">
        <v>260</v>
      </c>
      <c r="I9" s="17" t="s">
        <v>261</v>
      </c>
      <c r="J9" s="19">
        <v>2.0833333333333332E-2</v>
      </c>
      <c r="K9" s="19">
        <v>2.7777777777777776E-2</v>
      </c>
      <c r="L9" s="21">
        <f>CRF_3[[#This Row],[Time Spent on Configuration]]+CRF_3[[#This Row],[Time Spent on Review/Testing]]</f>
        <v>4.8611111111111105E-2</v>
      </c>
      <c r="N9" s="16" t="s">
        <v>36</v>
      </c>
      <c r="O9" s="16" t="s">
        <v>29</v>
      </c>
      <c r="P9" s="16" t="s">
        <v>38</v>
      </c>
      <c r="Q9" s="24">
        <v>45672</v>
      </c>
      <c r="R9" s="16">
        <v>5</v>
      </c>
    </row>
    <row r="10" spans="1:21" ht="86.4" hidden="1" x14ac:dyDescent="0.3">
      <c r="A10" s="16" t="s">
        <v>31</v>
      </c>
      <c r="B10" s="17" t="s">
        <v>32</v>
      </c>
      <c r="C10" s="16" t="s">
        <v>23</v>
      </c>
      <c r="D10" s="16">
        <v>406482</v>
      </c>
      <c r="E10" s="16" t="s">
        <v>40</v>
      </c>
      <c r="F10" s="24">
        <v>45674</v>
      </c>
      <c r="G10" s="24" t="s">
        <v>242</v>
      </c>
      <c r="H10" s="17" t="s">
        <v>262</v>
      </c>
      <c r="I10" s="17" t="s">
        <v>263</v>
      </c>
      <c r="J10" s="19">
        <v>1.3888888888888888E-2</v>
      </c>
      <c r="K10" s="19">
        <v>2.4305555555555556E-2</v>
      </c>
      <c r="L10" s="21">
        <f>CRF_3[[#This Row],[Time Spent on Configuration]]+CRF_3[[#This Row],[Time Spent on Review/Testing]]</f>
        <v>3.8194444444444448E-2</v>
      </c>
      <c r="N10" s="16" t="s">
        <v>28</v>
      </c>
      <c r="O10" s="16" t="s">
        <v>245</v>
      </c>
      <c r="P10" s="16" t="s">
        <v>38</v>
      </c>
      <c r="Q10" s="24">
        <v>45674</v>
      </c>
      <c r="R10" s="16">
        <v>5</v>
      </c>
    </row>
    <row r="11" spans="1:21" ht="230.4" hidden="1" x14ac:dyDescent="0.3">
      <c r="A11" s="16" t="s">
        <v>31</v>
      </c>
      <c r="B11" s="17" t="s">
        <v>264</v>
      </c>
      <c r="C11" s="16" t="s">
        <v>104</v>
      </c>
      <c r="D11" s="16">
        <v>406833</v>
      </c>
      <c r="E11" s="16" t="s">
        <v>24</v>
      </c>
      <c r="F11" s="24">
        <v>45679</v>
      </c>
      <c r="G11" s="24" t="s">
        <v>81</v>
      </c>
      <c r="H11" s="17" t="s">
        <v>265</v>
      </c>
      <c r="I11" s="17" t="s">
        <v>266</v>
      </c>
      <c r="J11" s="19">
        <v>2.0833333333333332E-2</v>
      </c>
      <c r="K11" s="19">
        <v>2.7777777777777776E-2</v>
      </c>
      <c r="L11" s="21">
        <f>CRF_3[[#This Row],[Time Spent on Configuration]]+CRF_3[[#This Row],[Time Spent on Review/Testing]]</f>
        <v>4.8611111111111105E-2</v>
      </c>
      <c r="N11" s="16" t="s">
        <v>28</v>
      </c>
      <c r="O11" s="16" t="s">
        <v>29</v>
      </c>
      <c r="P11" s="16" t="s">
        <v>38</v>
      </c>
      <c r="Q11" s="24">
        <v>45679</v>
      </c>
      <c r="R11" s="16">
        <v>5</v>
      </c>
    </row>
    <row r="12" spans="1:21" ht="244.8" hidden="1" x14ac:dyDescent="0.3">
      <c r="A12" s="16" t="s">
        <v>31</v>
      </c>
      <c r="B12" s="17" t="s">
        <v>267</v>
      </c>
      <c r="C12" s="16" t="s">
        <v>120</v>
      </c>
      <c r="D12" s="16">
        <v>406029</v>
      </c>
      <c r="E12" s="16" t="s">
        <v>24</v>
      </c>
      <c r="F12" s="24">
        <v>45679</v>
      </c>
      <c r="G12" s="24" t="s">
        <v>193</v>
      </c>
      <c r="H12" s="17" t="s">
        <v>268</v>
      </c>
      <c r="I12" s="17" t="s">
        <v>269</v>
      </c>
      <c r="J12" s="19">
        <v>2.0833333333333332E-2</v>
      </c>
      <c r="K12" s="19">
        <v>2.7777777777777776E-2</v>
      </c>
      <c r="L12" s="21">
        <f>CRF_3[[#This Row],[Time Spent on Configuration]]+CRF_3[[#This Row],[Time Spent on Review/Testing]]</f>
        <v>4.8611111111111105E-2</v>
      </c>
      <c r="N12" s="16" t="s">
        <v>28</v>
      </c>
      <c r="O12" s="16" t="s">
        <v>29</v>
      </c>
      <c r="P12" s="16" t="s">
        <v>114</v>
      </c>
      <c r="Q12" s="24">
        <v>45679</v>
      </c>
      <c r="R12" s="16">
        <v>5</v>
      </c>
    </row>
    <row r="13" spans="1:21" ht="28.8" hidden="1" x14ac:dyDescent="0.3">
      <c r="A13" s="16" t="s">
        <v>31</v>
      </c>
      <c r="B13" s="17" t="s">
        <v>126</v>
      </c>
      <c r="C13" s="16" t="s">
        <v>120</v>
      </c>
      <c r="D13" s="16">
        <v>407226</v>
      </c>
      <c r="E13" s="16" t="s">
        <v>24</v>
      </c>
      <c r="F13" s="24">
        <v>45681</v>
      </c>
      <c r="G13" s="24" t="s">
        <v>242</v>
      </c>
      <c r="H13" s="17" t="s">
        <v>270</v>
      </c>
      <c r="I13" s="17" t="s">
        <v>271</v>
      </c>
      <c r="J13" s="19">
        <v>2.0833333333333332E-2</v>
      </c>
      <c r="K13" s="19">
        <v>2.0833333333333332E-2</v>
      </c>
      <c r="L13" s="21">
        <f>CRF_3[[#This Row],[Time Spent on Configuration]]+CRF_3[[#This Row],[Time Spent on Review/Testing]]</f>
        <v>4.1666666666666664E-2</v>
      </c>
      <c r="N13" s="16" t="s">
        <v>36</v>
      </c>
      <c r="O13" s="16" t="s">
        <v>29</v>
      </c>
      <c r="P13" s="16" t="s">
        <v>114</v>
      </c>
      <c r="Q13" s="24">
        <v>45681</v>
      </c>
      <c r="R13" s="16">
        <v>5</v>
      </c>
    </row>
    <row r="14" spans="1:21" ht="57.6" hidden="1" x14ac:dyDescent="0.3">
      <c r="A14" s="16" t="s">
        <v>31</v>
      </c>
      <c r="B14" s="17" t="s">
        <v>32</v>
      </c>
      <c r="C14" s="16" t="s">
        <v>23</v>
      </c>
      <c r="D14" s="16">
        <v>407428</v>
      </c>
      <c r="E14" s="16" t="s">
        <v>24</v>
      </c>
      <c r="F14" s="24">
        <v>45685</v>
      </c>
      <c r="G14" s="24" t="s">
        <v>272</v>
      </c>
      <c r="H14" s="17" t="s">
        <v>273</v>
      </c>
      <c r="I14" s="17" t="s">
        <v>274</v>
      </c>
      <c r="J14" s="19">
        <v>2.0833333333333332E-2</v>
      </c>
      <c r="K14" s="19">
        <v>4.8611111111111112E-2</v>
      </c>
      <c r="L14" s="21">
        <f>CRF_3[[#This Row],[Time Spent on Configuration]]+CRF_3[[#This Row],[Time Spent on Review/Testing]]</f>
        <v>6.9444444444444448E-2</v>
      </c>
      <c r="N14" s="16" t="s">
        <v>29</v>
      </c>
      <c r="O14" s="16" t="s">
        <v>245</v>
      </c>
      <c r="P14" s="16" t="s">
        <v>38</v>
      </c>
      <c r="Q14" s="24">
        <v>45685</v>
      </c>
      <c r="R14" s="16">
        <v>5</v>
      </c>
    </row>
    <row r="15" spans="1:21" ht="100.8" hidden="1" x14ac:dyDescent="0.3">
      <c r="A15" s="16" t="s">
        <v>31</v>
      </c>
      <c r="B15" s="17" t="s">
        <v>84</v>
      </c>
      <c r="C15" s="16" t="s">
        <v>23</v>
      </c>
      <c r="D15" s="16">
        <v>407288</v>
      </c>
      <c r="E15" s="16" t="s">
        <v>40</v>
      </c>
      <c r="F15" s="24">
        <v>45685</v>
      </c>
      <c r="G15" s="24" t="s">
        <v>25</v>
      </c>
      <c r="H15" s="22" t="s">
        <v>275</v>
      </c>
      <c r="I15" s="22" t="s">
        <v>276</v>
      </c>
      <c r="J15" s="19">
        <v>2.0833333333333332E-2</v>
      </c>
      <c r="K15" s="19">
        <v>3.8194444444444448E-2</v>
      </c>
      <c r="L15" s="21">
        <f>CRF_3[[#This Row],[Time Spent on Configuration]]+CRF_3[[#This Row],[Time Spent on Review/Testing]]</f>
        <v>5.9027777777777776E-2</v>
      </c>
      <c r="N15" s="16" t="s">
        <v>28</v>
      </c>
      <c r="O15" s="16" t="s">
        <v>29</v>
      </c>
      <c r="P15" s="16" t="s">
        <v>38</v>
      </c>
      <c r="Q15" s="24">
        <v>45685</v>
      </c>
      <c r="R15" s="16">
        <v>5</v>
      </c>
    </row>
    <row r="16" spans="1:21" ht="57.6" hidden="1" x14ac:dyDescent="0.3">
      <c r="A16" s="16" t="s">
        <v>31</v>
      </c>
      <c r="B16" s="17" t="s">
        <v>44</v>
      </c>
      <c r="C16" s="16" t="s">
        <v>257</v>
      </c>
      <c r="D16" s="16">
        <v>407580</v>
      </c>
      <c r="E16" s="16" t="s">
        <v>40</v>
      </c>
      <c r="F16" s="24">
        <v>45685</v>
      </c>
      <c r="G16" s="24" t="s">
        <v>277</v>
      </c>
      <c r="H16" s="17" t="s">
        <v>278</v>
      </c>
      <c r="I16" s="17" t="s">
        <v>279</v>
      </c>
      <c r="J16" s="19">
        <v>2.0833333333333332E-2</v>
      </c>
      <c r="K16" s="19">
        <v>3.4722222222222224E-2</v>
      </c>
      <c r="L16" s="21">
        <f>CRF_3[[#This Row],[Time Spent on Configuration]]+CRF_3[[#This Row],[Time Spent on Review/Testing]]</f>
        <v>5.5555555555555552E-2</v>
      </c>
      <c r="N16" s="16" t="s">
        <v>28</v>
      </c>
      <c r="O16" s="16" t="s">
        <v>29</v>
      </c>
      <c r="P16" s="16" t="s">
        <v>38</v>
      </c>
      <c r="Q16" s="24">
        <v>45685</v>
      </c>
      <c r="R16" s="16">
        <v>5</v>
      </c>
    </row>
    <row r="17" spans="1:18" ht="72" hidden="1" x14ac:dyDescent="0.3">
      <c r="A17" s="16" t="s">
        <v>31</v>
      </c>
      <c r="B17" s="17" t="s">
        <v>237</v>
      </c>
      <c r="C17" s="16" t="s">
        <v>23</v>
      </c>
      <c r="D17" s="16">
        <v>407567</v>
      </c>
      <c r="E17" s="16" t="s">
        <v>24</v>
      </c>
      <c r="F17" s="24">
        <v>45685</v>
      </c>
      <c r="G17" s="24" t="s">
        <v>272</v>
      </c>
      <c r="H17" s="17" t="s">
        <v>280</v>
      </c>
      <c r="I17" s="17" t="s">
        <v>281</v>
      </c>
      <c r="J17" s="19">
        <v>2.0833333333333332E-2</v>
      </c>
      <c r="K17" s="19">
        <v>2.0833333333333332E-2</v>
      </c>
      <c r="L17" s="21">
        <f>CRF_3[[#This Row],[Time Spent on Configuration]]+CRF_3[[#This Row],[Time Spent on Review/Testing]]</f>
        <v>4.1666666666666664E-2</v>
      </c>
      <c r="N17" s="16" t="s">
        <v>28</v>
      </c>
      <c r="O17" s="16" t="s">
        <v>29</v>
      </c>
      <c r="P17" s="16" t="s">
        <v>38</v>
      </c>
      <c r="Q17" s="24">
        <v>45685</v>
      </c>
      <c r="R17" s="16">
        <v>5</v>
      </c>
    </row>
    <row r="18" spans="1:18" ht="64.5" hidden="1" customHeight="1" x14ac:dyDescent="0.3">
      <c r="A18" s="16" t="s">
        <v>31</v>
      </c>
      <c r="B18" s="17" t="s">
        <v>22</v>
      </c>
      <c r="C18" s="16" t="s">
        <v>23</v>
      </c>
      <c r="D18" s="16" t="s">
        <v>282</v>
      </c>
      <c r="E18" s="16" t="s">
        <v>24</v>
      </c>
      <c r="F18" s="24">
        <v>45685</v>
      </c>
      <c r="G18" s="24" t="s">
        <v>272</v>
      </c>
      <c r="H18" s="17" t="s">
        <v>283</v>
      </c>
      <c r="I18" s="17" t="s">
        <v>283</v>
      </c>
      <c r="J18" s="19">
        <v>2.0833333333333332E-2</v>
      </c>
      <c r="K18" s="19">
        <v>4.1666666666666664E-2</v>
      </c>
      <c r="L18" s="21">
        <f>CRF_3[[#This Row],[Time Spent on Configuration]]+CRF_3[[#This Row],[Time Spent on Review/Testing]]</f>
        <v>6.25E-2</v>
      </c>
      <c r="N18" s="16" t="s">
        <v>28</v>
      </c>
      <c r="O18" s="16" t="s">
        <v>245</v>
      </c>
      <c r="P18" s="16" t="s">
        <v>38</v>
      </c>
      <c r="Q18" s="24">
        <v>45685</v>
      </c>
      <c r="R18" s="16">
        <v>5</v>
      </c>
    </row>
    <row r="19" spans="1:18" ht="43.2" hidden="1" x14ac:dyDescent="0.3">
      <c r="A19" s="16" t="s">
        <v>49</v>
      </c>
      <c r="B19" s="17" t="s">
        <v>126</v>
      </c>
      <c r="C19" s="16" t="s">
        <v>120</v>
      </c>
      <c r="D19" s="16">
        <v>408027</v>
      </c>
      <c r="E19" s="16" t="s">
        <v>24</v>
      </c>
      <c r="F19" s="24">
        <v>45694</v>
      </c>
      <c r="G19" s="24" t="s">
        <v>272</v>
      </c>
      <c r="H19" s="17" t="s">
        <v>284</v>
      </c>
      <c r="I19" s="17" t="s">
        <v>284</v>
      </c>
      <c r="J19" s="19">
        <v>1.3888888888888888E-2</v>
      </c>
      <c r="K19" s="19">
        <v>2.0833333333333332E-2</v>
      </c>
      <c r="L19" s="21">
        <f>CRF_3[[#This Row],[Time Spent on Configuration]]+CRF_3[[#This Row],[Time Spent on Review/Testing]]</f>
        <v>3.4722222222222224E-2</v>
      </c>
      <c r="N19" s="16" t="s">
        <v>28</v>
      </c>
      <c r="O19" s="16" t="s">
        <v>29</v>
      </c>
      <c r="P19" s="16" t="s">
        <v>114</v>
      </c>
      <c r="Q19" s="24">
        <v>45694</v>
      </c>
      <c r="R19" s="16">
        <v>5</v>
      </c>
    </row>
    <row r="20" spans="1:18" ht="43.2" hidden="1" x14ac:dyDescent="0.3">
      <c r="A20" s="16" t="s">
        <v>49</v>
      </c>
      <c r="B20" s="17" t="s">
        <v>285</v>
      </c>
      <c r="C20" s="16" t="s">
        <v>120</v>
      </c>
      <c r="D20" s="16">
        <v>408511</v>
      </c>
      <c r="E20" s="16" t="s">
        <v>24</v>
      </c>
      <c r="F20" s="24">
        <v>45694</v>
      </c>
      <c r="G20" s="24" t="s">
        <v>272</v>
      </c>
      <c r="H20" s="17" t="s">
        <v>286</v>
      </c>
      <c r="I20" s="17" t="s">
        <v>287</v>
      </c>
      <c r="J20" s="19">
        <v>2.0833333333333332E-2</v>
      </c>
      <c r="K20" s="19">
        <v>3.4722222222222224E-2</v>
      </c>
      <c r="L20" s="21">
        <f>CRF_3[[#This Row],[Time Spent on Configuration]]+CRF_3[[#This Row],[Time Spent on Review/Testing]]</f>
        <v>5.5555555555555552E-2</v>
      </c>
      <c r="N20" s="16" t="s">
        <v>36</v>
      </c>
      <c r="O20" s="16" t="s">
        <v>29</v>
      </c>
      <c r="P20" s="16" t="s">
        <v>288</v>
      </c>
      <c r="Q20" s="24">
        <v>45694</v>
      </c>
      <c r="R20" s="16">
        <v>5</v>
      </c>
    </row>
    <row r="21" spans="1:18" ht="216" x14ac:dyDescent="0.3">
      <c r="A21" s="16" t="s">
        <v>49</v>
      </c>
      <c r="B21" s="17" t="s">
        <v>93</v>
      </c>
      <c r="C21" s="16" t="s">
        <v>23</v>
      </c>
      <c r="D21" s="16">
        <v>409578</v>
      </c>
      <c r="E21" s="16" t="s">
        <v>40</v>
      </c>
      <c r="F21" s="24">
        <v>45700</v>
      </c>
      <c r="G21" s="24" t="s">
        <v>25</v>
      </c>
      <c r="H21" s="17" t="s">
        <v>289</v>
      </c>
      <c r="I21" s="17" t="s">
        <v>290</v>
      </c>
      <c r="J21" s="19">
        <v>3.125E-2</v>
      </c>
      <c r="K21" s="19">
        <v>6.5972222222222224E-2</v>
      </c>
      <c r="L21" s="21">
        <f>CRF_3[[#This Row],[Time Spent on Configuration]]+CRF_3[[#This Row],[Time Spent on Review/Testing]]</f>
        <v>9.7222222222222224E-2</v>
      </c>
      <c r="N21" s="16" t="s">
        <v>28</v>
      </c>
      <c r="O21" s="16" t="s">
        <v>245</v>
      </c>
      <c r="P21" s="16" t="s">
        <v>291</v>
      </c>
      <c r="Q21" s="24">
        <v>45700</v>
      </c>
      <c r="R21" s="16">
        <v>5</v>
      </c>
    </row>
    <row r="22" spans="1:18" ht="244.8" hidden="1" x14ac:dyDescent="0.3">
      <c r="A22" s="16" t="s">
        <v>49</v>
      </c>
      <c r="B22" s="17" t="s">
        <v>50</v>
      </c>
      <c r="C22" s="16" t="s">
        <v>23</v>
      </c>
      <c r="D22" s="16">
        <v>407649</v>
      </c>
      <c r="E22" s="16" t="s">
        <v>24</v>
      </c>
      <c r="F22" s="24">
        <v>45701</v>
      </c>
      <c r="G22" s="24" t="s">
        <v>272</v>
      </c>
      <c r="H22" s="17" t="s">
        <v>292</v>
      </c>
      <c r="I22" s="17" t="s">
        <v>293</v>
      </c>
      <c r="J22" s="19">
        <v>4.1666666666666664E-2</v>
      </c>
      <c r="K22" s="19">
        <v>4.1666666666666664E-2</v>
      </c>
      <c r="L22" s="21">
        <f>CRF_3[[#This Row],[Time Spent on Configuration]]+CRF_3[[#This Row],[Time Spent on Review/Testing]]</f>
        <v>8.3333333333333329E-2</v>
      </c>
      <c r="N22" s="16" t="s">
        <v>28</v>
      </c>
      <c r="O22" s="16" t="s">
        <v>245</v>
      </c>
      <c r="P22" s="16" t="s">
        <v>38</v>
      </c>
      <c r="Q22" s="24">
        <v>45701</v>
      </c>
      <c r="R22" s="16">
        <v>5</v>
      </c>
    </row>
    <row r="23" spans="1:18" ht="187.2" hidden="1" x14ac:dyDescent="0.3">
      <c r="A23" s="16" t="s">
        <v>49</v>
      </c>
      <c r="B23" s="17" t="s">
        <v>294</v>
      </c>
      <c r="C23" s="16" t="s">
        <v>295</v>
      </c>
      <c r="D23" s="16">
        <v>409854</v>
      </c>
      <c r="E23" s="16" t="s">
        <v>24</v>
      </c>
      <c r="F23" s="24">
        <v>45705</v>
      </c>
      <c r="G23" s="24" t="s">
        <v>272</v>
      </c>
      <c r="H23" s="17" t="s">
        <v>296</v>
      </c>
      <c r="I23" s="17" t="s">
        <v>297</v>
      </c>
      <c r="J23" s="19">
        <v>6.9444444444444441E-3</v>
      </c>
      <c r="K23" s="19">
        <v>3.4722222222222224E-2</v>
      </c>
      <c r="L23" s="21">
        <f>CRF_3[[#This Row],[Time Spent on Configuration]]+CRF_3[[#This Row],[Time Spent on Review/Testing]]</f>
        <v>4.1666666666666671E-2</v>
      </c>
      <c r="N23" s="16" t="s">
        <v>28</v>
      </c>
      <c r="O23" s="16" t="s">
        <v>29</v>
      </c>
      <c r="P23" s="16" t="s">
        <v>38</v>
      </c>
      <c r="Q23" s="24">
        <v>45705</v>
      </c>
      <c r="R23" s="16">
        <v>5</v>
      </c>
    </row>
    <row r="24" spans="1:18" ht="43.2" hidden="1" x14ac:dyDescent="0.3">
      <c r="A24" s="16" t="s">
        <v>49</v>
      </c>
      <c r="B24" s="17" t="s">
        <v>285</v>
      </c>
      <c r="C24" s="16" t="s">
        <v>120</v>
      </c>
      <c r="D24" s="16">
        <v>408511</v>
      </c>
      <c r="E24" s="16" t="s">
        <v>24</v>
      </c>
      <c r="F24" s="24">
        <v>45694</v>
      </c>
      <c r="G24" s="24" t="s">
        <v>272</v>
      </c>
      <c r="H24" s="17" t="s">
        <v>298</v>
      </c>
      <c r="I24" s="17" t="s">
        <v>299</v>
      </c>
      <c r="J24" s="19">
        <v>6.9444444444444441E-3</v>
      </c>
      <c r="K24" s="19">
        <v>6.25E-2</v>
      </c>
      <c r="L24" s="21">
        <f>CRF_3[[#This Row],[Time Spent on Configuration]]+CRF_3[[#This Row],[Time Spent on Review/Testing]]</f>
        <v>6.9444444444444448E-2</v>
      </c>
      <c r="N24" s="16" t="s">
        <v>28</v>
      </c>
      <c r="O24" s="16" t="s">
        <v>245</v>
      </c>
      <c r="P24" s="16" t="s">
        <v>288</v>
      </c>
      <c r="Q24" s="24">
        <v>45705</v>
      </c>
      <c r="R24" s="16">
        <v>5</v>
      </c>
    </row>
    <row r="25" spans="1:18" ht="86.4" hidden="1" x14ac:dyDescent="0.3">
      <c r="A25" s="16" t="s">
        <v>49</v>
      </c>
      <c r="B25" s="17" t="s">
        <v>103</v>
      </c>
      <c r="C25" s="16" t="s">
        <v>104</v>
      </c>
      <c r="D25" s="16">
        <v>409856</v>
      </c>
      <c r="E25" s="16" t="s">
        <v>40</v>
      </c>
      <c r="F25" s="24">
        <v>45707</v>
      </c>
      <c r="G25" s="24" t="s">
        <v>272</v>
      </c>
      <c r="H25" s="17" t="s">
        <v>300</v>
      </c>
      <c r="I25" s="17" t="s">
        <v>301</v>
      </c>
      <c r="J25" s="19">
        <v>1.3888888888888888E-2</v>
      </c>
      <c r="K25" s="19">
        <v>2.0833333333333332E-2</v>
      </c>
      <c r="L25" s="21">
        <f>CRF_3[[#This Row],[Time Spent on Configuration]]+CRF_3[[#This Row],[Time Spent on Review/Testing]]</f>
        <v>3.4722222222222224E-2</v>
      </c>
      <c r="N25" s="16" t="s">
        <v>36</v>
      </c>
      <c r="O25" s="16" t="s">
        <v>29</v>
      </c>
      <c r="P25" s="16" t="s">
        <v>38</v>
      </c>
      <c r="Q25" s="24">
        <v>45707</v>
      </c>
      <c r="R25" s="16">
        <v>5</v>
      </c>
    </row>
    <row r="26" spans="1:18" ht="72" x14ac:dyDescent="0.3">
      <c r="A26" s="16" t="s">
        <v>49</v>
      </c>
      <c r="B26" s="17" t="s">
        <v>93</v>
      </c>
      <c r="C26" s="16" t="s">
        <v>23</v>
      </c>
      <c r="D26" s="16">
        <v>408523</v>
      </c>
      <c r="E26" s="16" t="s">
        <v>24</v>
      </c>
      <c r="F26" s="24">
        <v>45709</v>
      </c>
      <c r="G26" s="24" t="s">
        <v>302</v>
      </c>
      <c r="H26" s="17" t="s">
        <v>303</v>
      </c>
      <c r="I26" s="17" t="s">
        <v>304</v>
      </c>
      <c r="J26" s="19">
        <v>1.3888888888888888E-2</v>
      </c>
      <c r="K26" s="19">
        <v>3.4722222222222224E-2</v>
      </c>
      <c r="L26" s="21">
        <f>CRF_3[[#This Row],[Time Spent on Configuration]]+CRF_3[[#This Row],[Time Spent on Review/Testing]]</f>
        <v>4.8611111111111112E-2</v>
      </c>
      <c r="N26" s="16" t="s">
        <v>28</v>
      </c>
      <c r="O26" s="16" t="s">
        <v>29</v>
      </c>
      <c r="P26" s="16" t="s">
        <v>38</v>
      </c>
      <c r="Q26" s="24">
        <v>45709</v>
      </c>
      <c r="R26" s="16">
        <v>5</v>
      </c>
    </row>
    <row r="27" spans="1:18" ht="115.2" hidden="1" x14ac:dyDescent="0.3">
      <c r="A27" s="16" t="s">
        <v>49</v>
      </c>
      <c r="B27" s="17" t="s">
        <v>32</v>
      </c>
      <c r="C27" s="16" t="s">
        <v>23</v>
      </c>
      <c r="D27" s="16">
        <v>407283</v>
      </c>
      <c r="E27" s="16" t="s">
        <v>24</v>
      </c>
      <c r="F27" s="24">
        <v>45712</v>
      </c>
      <c r="G27" s="24" t="s">
        <v>272</v>
      </c>
      <c r="H27" s="17" t="s">
        <v>305</v>
      </c>
      <c r="I27" s="17" t="s">
        <v>306</v>
      </c>
      <c r="J27" s="19">
        <v>2.0833333333333332E-2</v>
      </c>
      <c r="K27" s="19">
        <v>3.4722222222222224E-2</v>
      </c>
      <c r="L27" s="21">
        <f>CRF_3[[#This Row],[Time Spent on Configuration]]+CRF_3[[#This Row],[Time Spent on Review/Testing]]</f>
        <v>5.5555555555555552E-2</v>
      </c>
      <c r="N27" s="16" t="s">
        <v>36</v>
      </c>
      <c r="O27" s="16" t="s">
        <v>29</v>
      </c>
      <c r="P27" s="16" t="s">
        <v>38</v>
      </c>
      <c r="Q27" s="24">
        <v>45712</v>
      </c>
      <c r="R27" s="16">
        <v>5</v>
      </c>
    </row>
    <row r="28" spans="1:18" ht="100.8" hidden="1" x14ac:dyDescent="0.3">
      <c r="A28" s="16" t="s">
        <v>49</v>
      </c>
      <c r="B28" s="17" t="s">
        <v>44</v>
      </c>
      <c r="C28" s="16" t="s">
        <v>257</v>
      </c>
      <c r="D28" s="16">
        <v>410397</v>
      </c>
      <c r="E28" s="16" t="s">
        <v>40</v>
      </c>
      <c r="F28" s="24">
        <v>45712</v>
      </c>
      <c r="G28" s="24" t="s">
        <v>272</v>
      </c>
      <c r="H28" s="17" t="s">
        <v>307</v>
      </c>
      <c r="I28" s="17" t="s">
        <v>308</v>
      </c>
      <c r="J28" s="19">
        <v>2.0833333333333332E-2</v>
      </c>
      <c r="K28" s="19">
        <v>3.8194444444444448E-2</v>
      </c>
      <c r="L28" s="21">
        <f>CRF_3[[#This Row],[Time Spent on Configuration]]+CRF_3[[#This Row],[Time Spent on Review/Testing]]</f>
        <v>5.9027777777777776E-2</v>
      </c>
      <c r="N28" s="16" t="s">
        <v>36</v>
      </c>
      <c r="O28" s="16" t="s">
        <v>29</v>
      </c>
      <c r="P28" s="16" t="s">
        <v>38</v>
      </c>
      <c r="Q28" s="24">
        <v>45712</v>
      </c>
      <c r="R28" s="16">
        <v>5</v>
      </c>
    </row>
    <row r="29" spans="1:18" hidden="1" x14ac:dyDescent="0.3">
      <c r="A29" s="16" t="s">
        <v>49</v>
      </c>
      <c r="B29" s="17" t="s">
        <v>309</v>
      </c>
      <c r="C29" s="16" t="s">
        <v>23</v>
      </c>
      <c r="D29" s="16">
        <v>409726</v>
      </c>
      <c r="E29" s="16" t="s">
        <v>40</v>
      </c>
      <c r="F29" s="24">
        <v>45715</v>
      </c>
      <c r="G29" s="24" t="s">
        <v>272</v>
      </c>
      <c r="H29" s="17" t="s">
        <v>310</v>
      </c>
      <c r="I29" s="17" t="s">
        <v>310</v>
      </c>
      <c r="J29" s="19">
        <v>3.4722222222222224E-2</v>
      </c>
      <c r="K29" s="19">
        <v>5.5555555555555552E-2</v>
      </c>
      <c r="L29" s="21">
        <f>CRF_3[[#This Row],[Time Spent on Configuration]]+CRF_3[[#This Row],[Time Spent on Review/Testing]]</f>
        <v>9.0277777777777776E-2</v>
      </c>
      <c r="N29" s="16" t="s">
        <v>28</v>
      </c>
      <c r="O29" s="16" t="s">
        <v>29</v>
      </c>
      <c r="P29" s="16" t="s">
        <v>38</v>
      </c>
      <c r="Q29" s="24">
        <v>45715</v>
      </c>
      <c r="R29" s="16">
        <v>5</v>
      </c>
    </row>
    <row r="30" spans="1:18" ht="72" hidden="1" x14ac:dyDescent="0.3">
      <c r="A30" s="16" t="s">
        <v>311</v>
      </c>
      <c r="B30" s="17" t="s">
        <v>312</v>
      </c>
      <c r="C30" s="16" t="s">
        <v>313</v>
      </c>
      <c r="D30" s="16">
        <v>411308</v>
      </c>
      <c r="E30" s="16" t="s">
        <v>24</v>
      </c>
      <c r="F30" s="24">
        <v>45719</v>
      </c>
      <c r="G30" s="24" t="s">
        <v>272</v>
      </c>
      <c r="H30" s="17" t="s">
        <v>314</v>
      </c>
      <c r="I30" s="17" t="s">
        <v>315</v>
      </c>
      <c r="J30" s="19">
        <v>3.4722222222222224E-2</v>
      </c>
      <c r="K30" s="19">
        <v>2.4305555555555556E-2</v>
      </c>
      <c r="L30" s="21">
        <f>CRF_3[[#This Row],[Time Spent on Configuration]]+CRF_3[[#This Row],[Time Spent on Review/Testing]]</f>
        <v>5.9027777777777776E-2</v>
      </c>
      <c r="N30" s="16" t="s">
        <v>28</v>
      </c>
      <c r="P30" s="16" t="s">
        <v>288</v>
      </c>
      <c r="Q30" s="24">
        <v>45719</v>
      </c>
      <c r="R30" s="16">
        <v>5</v>
      </c>
    </row>
    <row r="31" spans="1:18" ht="100.8" hidden="1" x14ac:dyDescent="0.3">
      <c r="A31" s="16" t="s">
        <v>311</v>
      </c>
      <c r="B31" s="17" t="s">
        <v>32</v>
      </c>
      <c r="C31" s="16" t="s">
        <v>23</v>
      </c>
      <c r="D31" s="16">
        <v>411390</v>
      </c>
      <c r="E31" s="16" t="s">
        <v>40</v>
      </c>
      <c r="F31" s="24">
        <v>45719</v>
      </c>
      <c r="G31" s="24" t="s">
        <v>272</v>
      </c>
      <c r="H31" s="17" t="s">
        <v>316</v>
      </c>
      <c r="I31" s="17" t="s">
        <v>317</v>
      </c>
      <c r="J31" s="19">
        <v>1.3888888888888888E-2</v>
      </c>
      <c r="K31" s="19">
        <v>2.0833333333333332E-2</v>
      </c>
      <c r="L31" s="21">
        <f>CRF_3[[#This Row],[Time Spent on Configuration]]+CRF_3[[#This Row],[Time Spent on Review/Testing]]</f>
        <v>3.4722222222222224E-2</v>
      </c>
      <c r="N31" s="16" t="s">
        <v>28</v>
      </c>
      <c r="O31" s="16" t="s">
        <v>29</v>
      </c>
      <c r="P31" s="16" t="s">
        <v>288</v>
      </c>
      <c r="Q31" s="24">
        <v>45719</v>
      </c>
      <c r="R31" s="16">
        <v>5</v>
      </c>
    </row>
    <row r="32" spans="1:18" ht="57.6" hidden="1" x14ac:dyDescent="0.3">
      <c r="A32" s="16" t="s">
        <v>65</v>
      </c>
      <c r="B32" s="17" t="s">
        <v>123</v>
      </c>
      <c r="C32" s="16" t="s">
        <v>23</v>
      </c>
      <c r="D32" s="16">
        <v>410528</v>
      </c>
      <c r="E32" s="16" t="s">
        <v>24</v>
      </c>
      <c r="F32" s="24">
        <v>45726</v>
      </c>
      <c r="G32" s="24" t="s">
        <v>242</v>
      </c>
      <c r="H32" s="17" t="s">
        <v>318</v>
      </c>
      <c r="I32" s="17" t="s">
        <v>319</v>
      </c>
      <c r="J32" s="19">
        <v>3.4722222222222224E-2</v>
      </c>
      <c r="K32" s="19">
        <v>5.2083333333333336E-2</v>
      </c>
      <c r="L32" s="21">
        <f>CRF_3[[#This Row],[Time Spent on Configuration]]+CRF_3[[#This Row],[Time Spent on Review/Testing]]</f>
        <v>8.6805555555555552E-2</v>
      </c>
      <c r="N32" s="16" t="s">
        <v>29</v>
      </c>
      <c r="O32" s="16" t="s">
        <v>245</v>
      </c>
      <c r="P32" s="16" t="s">
        <v>114</v>
      </c>
      <c r="Q32" s="24">
        <v>45726</v>
      </c>
      <c r="R32" s="16">
        <v>5</v>
      </c>
    </row>
    <row r="33" spans="1:18" ht="86.4" hidden="1" x14ac:dyDescent="0.3">
      <c r="A33" s="16" t="s">
        <v>65</v>
      </c>
      <c r="B33" s="17" t="s">
        <v>22</v>
      </c>
      <c r="C33" s="16" t="s">
        <v>23</v>
      </c>
      <c r="D33" s="16">
        <v>407592</v>
      </c>
      <c r="E33" s="16" t="s">
        <v>24</v>
      </c>
      <c r="F33" s="24">
        <v>45735</v>
      </c>
      <c r="G33" s="24" t="s">
        <v>242</v>
      </c>
      <c r="H33" s="17" t="s">
        <v>320</v>
      </c>
      <c r="I33" s="17" t="s">
        <v>321</v>
      </c>
      <c r="J33" s="19">
        <v>2.0833333333333332E-2</v>
      </c>
      <c r="K33" s="19">
        <v>2.7777777777777776E-2</v>
      </c>
      <c r="L33" s="21">
        <f>CRF_3[[#This Row],[Time Spent on Configuration]]+CRF_3[[#This Row],[Time Spent on Review/Testing]]</f>
        <v>4.8611111111111105E-2</v>
      </c>
      <c r="N33" s="16" t="s">
        <v>28</v>
      </c>
      <c r="O33" s="16" t="s">
        <v>245</v>
      </c>
      <c r="P33" s="16" t="s">
        <v>288</v>
      </c>
      <c r="Q33" s="24">
        <v>45735</v>
      </c>
      <c r="R33" s="16">
        <v>5</v>
      </c>
    </row>
    <row r="34" spans="1:18" ht="158.4" hidden="1" x14ac:dyDescent="0.3">
      <c r="A34" s="16" t="s">
        <v>65</v>
      </c>
      <c r="B34" s="17" t="s">
        <v>294</v>
      </c>
      <c r="C34" s="16" t="s">
        <v>295</v>
      </c>
      <c r="D34" s="16">
        <v>412581</v>
      </c>
      <c r="E34" s="16" t="s">
        <v>40</v>
      </c>
      <c r="F34" s="24">
        <v>45736</v>
      </c>
      <c r="G34" s="24" t="s">
        <v>242</v>
      </c>
      <c r="H34" s="17" t="s">
        <v>322</v>
      </c>
      <c r="I34" s="17" t="s">
        <v>323</v>
      </c>
      <c r="J34" s="19">
        <v>4.1666666666666664E-2</v>
      </c>
      <c r="K34" s="19">
        <v>7.2916666666666671E-2</v>
      </c>
      <c r="L34" s="21">
        <f>CRF_3[[#This Row],[Time Spent on Configuration]]+CRF_3[[#This Row],[Time Spent on Review/Testing]]</f>
        <v>0.11458333333333334</v>
      </c>
      <c r="N34" s="16" t="s">
        <v>28</v>
      </c>
      <c r="O34" s="16" t="s">
        <v>245</v>
      </c>
      <c r="P34" s="16" t="s">
        <v>38</v>
      </c>
      <c r="Q34" s="24">
        <v>45736</v>
      </c>
      <c r="R34" s="16">
        <v>5</v>
      </c>
    </row>
    <row r="35" spans="1:18" ht="187.2" hidden="1" x14ac:dyDescent="0.3">
      <c r="A35" s="16" t="s">
        <v>65</v>
      </c>
      <c r="B35" s="17" t="s">
        <v>39</v>
      </c>
      <c r="C35" s="16" t="s">
        <v>23</v>
      </c>
      <c r="D35" s="16">
        <v>413183</v>
      </c>
      <c r="E35" s="16" t="s">
        <v>24</v>
      </c>
      <c r="F35" s="24">
        <v>45741</v>
      </c>
      <c r="G35" s="24" t="s">
        <v>242</v>
      </c>
      <c r="H35" s="17" t="s">
        <v>324</v>
      </c>
      <c r="I35" s="17" t="s">
        <v>325</v>
      </c>
      <c r="J35" s="19">
        <v>3.125E-2</v>
      </c>
      <c r="K35" s="19">
        <v>3.4722222222222224E-2</v>
      </c>
      <c r="L35" s="21">
        <f>CRF_3[[#This Row],[Time Spent on Configuration]]+CRF_3[[#This Row],[Time Spent on Review/Testing]]</f>
        <v>6.5972222222222224E-2</v>
      </c>
      <c r="N35" s="16" t="s">
        <v>28</v>
      </c>
      <c r="O35" s="16" t="s">
        <v>29</v>
      </c>
      <c r="P35" s="16" t="s">
        <v>38</v>
      </c>
      <c r="Q35" s="24">
        <v>45741</v>
      </c>
      <c r="R35" s="16">
        <v>5</v>
      </c>
    </row>
    <row r="36" spans="1:18" ht="57.6" hidden="1" x14ac:dyDescent="0.3">
      <c r="A36" s="16" t="s">
        <v>65</v>
      </c>
      <c r="B36" s="17" t="s">
        <v>294</v>
      </c>
      <c r="C36" s="16" t="s">
        <v>295</v>
      </c>
      <c r="D36" s="16">
        <v>413857</v>
      </c>
      <c r="E36" s="16" t="s">
        <v>40</v>
      </c>
      <c r="F36" s="24">
        <v>45742</v>
      </c>
      <c r="G36" s="24" t="s">
        <v>242</v>
      </c>
      <c r="H36" s="17" t="s">
        <v>326</v>
      </c>
      <c r="I36" s="17" t="s">
        <v>327</v>
      </c>
      <c r="J36" s="19">
        <v>1.3888888888888888E-2</v>
      </c>
      <c r="K36" s="19">
        <v>2.0833333333333332E-2</v>
      </c>
      <c r="L36" s="21">
        <f>CRF_3[[#This Row],[Time Spent on Configuration]]+CRF_3[[#This Row],[Time Spent on Review/Testing]]</f>
        <v>3.4722222222222224E-2</v>
      </c>
      <c r="N36" s="16" t="s">
        <v>28</v>
      </c>
      <c r="O36" s="16" t="s">
        <v>29</v>
      </c>
      <c r="P36" s="16" t="s">
        <v>38</v>
      </c>
      <c r="Q36" s="24">
        <v>45742</v>
      </c>
      <c r="R36" s="16">
        <v>5</v>
      </c>
    </row>
    <row r="37" spans="1:18" ht="43.2" hidden="1" x14ac:dyDescent="0.3">
      <c r="A37" s="16" t="s">
        <v>65</v>
      </c>
      <c r="B37" s="17" t="s">
        <v>144</v>
      </c>
      <c r="C37" s="16" t="s">
        <v>23</v>
      </c>
      <c r="D37" s="16">
        <v>402287</v>
      </c>
      <c r="E37" s="16" t="s">
        <v>24</v>
      </c>
      <c r="F37" s="24">
        <v>45742</v>
      </c>
      <c r="G37" s="24" t="s">
        <v>81</v>
      </c>
      <c r="H37" s="17" t="s">
        <v>328</v>
      </c>
      <c r="I37" s="17" t="s">
        <v>329</v>
      </c>
      <c r="J37" s="19">
        <v>1.3888888888888888E-2</v>
      </c>
      <c r="K37" s="19">
        <v>2.0833333333333332E-2</v>
      </c>
      <c r="L37" s="21">
        <f>CRF_3[[#This Row],[Time Spent on Configuration]]+CRF_3[[#This Row],[Time Spent on Review/Testing]]</f>
        <v>3.4722222222222224E-2</v>
      </c>
      <c r="N37" s="16" t="s">
        <v>28</v>
      </c>
      <c r="O37" s="16" t="s">
        <v>29</v>
      </c>
      <c r="P37" s="16" t="s">
        <v>114</v>
      </c>
      <c r="Q37" s="24">
        <v>45742</v>
      </c>
      <c r="R37" s="16">
        <v>5</v>
      </c>
    </row>
    <row r="38" spans="1:18" hidden="1" x14ac:dyDescent="0.3">
      <c r="A38" s="16" t="s">
        <v>65</v>
      </c>
      <c r="B38" s="17" t="s">
        <v>144</v>
      </c>
      <c r="C38" s="16" t="s">
        <v>23</v>
      </c>
      <c r="D38" s="16">
        <v>413717</v>
      </c>
      <c r="E38" s="16" t="s">
        <v>24</v>
      </c>
      <c r="F38" s="24">
        <v>45743</v>
      </c>
      <c r="G38" s="24" t="s">
        <v>242</v>
      </c>
      <c r="H38" s="17" t="s">
        <v>330</v>
      </c>
      <c r="I38" s="17" t="s">
        <v>330</v>
      </c>
      <c r="J38" s="19">
        <v>6.25E-2</v>
      </c>
      <c r="K38" s="19">
        <v>5.5555555555555552E-2</v>
      </c>
      <c r="L38" s="21">
        <f>CRF_3[[#This Row],[Time Spent on Configuration]]+CRF_3[[#This Row],[Time Spent on Review/Testing]]</f>
        <v>0.11805555555555555</v>
      </c>
      <c r="N38" s="16" t="s">
        <v>28</v>
      </c>
      <c r="O38" s="16" t="s">
        <v>29</v>
      </c>
      <c r="P38" s="16" t="s">
        <v>114</v>
      </c>
      <c r="Q38" s="24">
        <v>45743</v>
      </c>
      <c r="R38" s="16">
        <v>5</v>
      </c>
    </row>
    <row r="39" spans="1:18" ht="57.6" hidden="1" x14ac:dyDescent="0.3">
      <c r="A39" s="16" t="s">
        <v>65</v>
      </c>
      <c r="B39" s="17" t="s">
        <v>144</v>
      </c>
      <c r="C39" s="16" t="s">
        <v>23</v>
      </c>
      <c r="D39" s="16">
        <v>402287</v>
      </c>
      <c r="E39" s="16" t="s">
        <v>24</v>
      </c>
      <c r="F39" s="24">
        <v>45747</v>
      </c>
      <c r="G39" s="24" t="s">
        <v>81</v>
      </c>
      <c r="H39" s="17" t="s">
        <v>331</v>
      </c>
      <c r="I39" s="17" t="s">
        <v>332</v>
      </c>
      <c r="J39" s="19">
        <v>1.3888888888888888E-2</v>
      </c>
      <c r="K39" s="19">
        <v>3.4722222222222224E-2</v>
      </c>
      <c r="L39" s="21">
        <f>CRF_3[[#This Row],[Time Spent on Configuration]]+CRF_3[[#This Row],[Time Spent on Review/Testing]]</f>
        <v>4.8611111111111112E-2</v>
      </c>
      <c r="N39" s="16" t="s">
        <v>28</v>
      </c>
      <c r="O39" s="16" t="s">
        <v>29</v>
      </c>
      <c r="P39" s="16" t="s">
        <v>114</v>
      </c>
      <c r="Q39" s="24">
        <v>45747</v>
      </c>
      <c r="R39" s="16">
        <v>5</v>
      </c>
    </row>
    <row r="40" spans="1:18" ht="72" hidden="1" x14ac:dyDescent="0.3">
      <c r="A40" s="16" t="s">
        <v>155</v>
      </c>
      <c r="B40" s="17" t="s">
        <v>84</v>
      </c>
      <c r="C40" s="16" t="s">
        <v>23</v>
      </c>
      <c r="D40" s="16">
        <v>414117</v>
      </c>
      <c r="E40" s="16" t="s">
        <v>40</v>
      </c>
      <c r="F40" s="24">
        <v>45749</v>
      </c>
      <c r="G40" s="24" t="s">
        <v>25</v>
      </c>
      <c r="H40" s="17" t="s">
        <v>333</v>
      </c>
      <c r="I40" s="17" t="s">
        <v>334</v>
      </c>
      <c r="J40" s="19">
        <v>2.0833333333333332E-2</v>
      </c>
      <c r="K40" s="19">
        <v>5.5555555555555552E-2</v>
      </c>
      <c r="L40" s="21">
        <f>CRF_3[[#This Row],[Time Spent on Configuration]]+CRF_3[[#This Row],[Time Spent on Review/Testing]]</f>
        <v>7.6388888888888881E-2</v>
      </c>
      <c r="N40" s="16" t="s">
        <v>28</v>
      </c>
      <c r="O40" s="16" t="s">
        <v>29</v>
      </c>
      <c r="P40" s="16" t="s">
        <v>38</v>
      </c>
      <c r="Q40" s="24">
        <v>45749</v>
      </c>
      <c r="R40" s="16">
        <v>5</v>
      </c>
    </row>
    <row r="41" spans="1:18" ht="144" x14ac:dyDescent="0.3">
      <c r="A41" s="16" t="s">
        <v>155</v>
      </c>
      <c r="B41" s="17" t="s">
        <v>93</v>
      </c>
      <c r="C41" s="16" t="s">
        <v>23</v>
      </c>
      <c r="D41" s="16">
        <v>414300</v>
      </c>
      <c r="E41" s="16" t="s">
        <v>40</v>
      </c>
      <c r="F41" s="24">
        <v>45749</v>
      </c>
      <c r="G41" s="24" t="s">
        <v>25</v>
      </c>
      <c r="H41" s="17" t="s">
        <v>335</v>
      </c>
      <c r="I41" s="17" t="s">
        <v>336</v>
      </c>
      <c r="J41" s="19">
        <v>3.125E-2</v>
      </c>
      <c r="K41" s="19">
        <v>3.8194444444444448E-2</v>
      </c>
      <c r="L41" s="21">
        <f>CRF_3[[#This Row],[Time Spent on Configuration]]+CRF_3[[#This Row],[Time Spent on Review/Testing]]</f>
        <v>6.9444444444444448E-2</v>
      </c>
      <c r="N41" s="16" t="s">
        <v>28</v>
      </c>
      <c r="O41" s="16" t="s">
        <v>29</v>
      </c>
      <c r="P41" s="16" t="s">
        <v>38</v>
      </c>
      <c r="Q41" s="24">
        <v>45749</v>
      </c>
      <c r="R41" s="16">
        <v>5</v>
      </c>
    </row>
    <row r="42" spans="1:18" ht="100.8" hidden="1" x14ac:dyDescent="0.3">
      <c r="A42" s="16" t="s">
        <v>155</v>
      </c>
      <c r="B42" s="17" t="s">
        <v>337</v>
      </c>
      <c r="C42" s="16" t="s">
        <v>338</v>
      </c>
      <c r="D42" s="16">
        <v>414293</v>
      </c>
      <c r="E42" s="16" t="s">
        <v>24</v>
      </c>
      <c r="F42" s="24">
        <v>45750</v>
      </c>
      <c r="G42" s="24" t="s">
        <v>81</v>
      </c>
      <c r="H42" s="17" t="s">
        <v>339</v>
      </c>
      <c r="I42" s="17" t="s">
        <v>340</v>
      </c>
      <c r="J42" s="19">
        <v>2.0833333333333332E-2</v>
      </c>
      <c r="K42" s="19">
        <v>3.4722222222222224E-2</v>
      </c>
      <c r="L42" s="21">
        <f>CRF_3[[#This Row],[Time Spent on Configuration]]+CRF_3[[#This Row],[Time Spent on Review/Testing]]</f>
        <v>5.5555555555555552E-2</v>
      </c>
      <c r="N42" s="16" t="s">
        <v>28</v>
      </c>
      <c r="O42" s="16" t="s">
        <v>29</v>
      </c>
      <c r="P42" s="16" t="s">
        <v>38</v>
      </c>
      <c r="Q42" s="24">
        <v>45750</v>
      </c>
      <c r="R42" s="16">
        <v>5</v>
      </c>
    </row>
    <row r="43" spans="1:18" ht="43.2" hidden="1" x14ac:dyDescent="0.3">
      <c r="A43" s="16" t="s">
        <v>155</v>
      </c>
      <c r="B43" s="17" t="s">
        <v>32</v>
      </c>
      <c r="C43" s="16" t="s">
        <v>23</v>
      </c>
      <c r="D43" s="16">
        <v>414679</v>
      </c>
      <c r="E43" s="16" t="s">
        <v>24</v>
      </c>
      <c r="F43" s="24">
        <v>45754</v>
      </c>
      <c r="G43" s="24" t="s">
        <v>25</v>
      </c>
      <c r="H43" s="17" t="s">
        <v>341</v>
      </c>
      <c r="I43" s="17" t="s">
        <v>342</v>
      </c>
      <c r="J43" s="19">
        <v>2.0833333333333332E-2</v>
      </c>
      <c r="K43" s="19">
        <v>2.7777777777777776E-2</v>
      </c>
      <c r="L43" s="21">
        <f>CRF_3[[#This Row],[Time Spent on Configuration]]+CRF_3[[#This Row],[Time Spent on Review/Testing]]</f>
        <v>4.8611111111111105E-2</v>
      </c>
      <c r="N43" s="16" t="s">
        <v>36</v>
      </c>
      <c r="O43" s="16" t="s">
        <v>29</v>
      </c>
      <c r="P43" s="16" t="s">
        <v>38</v>
      </c>
      <c r="Q43" s="24">
        <v>45754</v>
      </c>
      <c r="R43" s="16">
        <v>5</v>
      </c>
    </row>
    <row r="44" spans="1:18" ht="187.2" hidden="1" x14ac:dyDescent="0.3">
      <c r="A44" s="16" t="s">
        <v>155</v>
      </c>
      <c r="B44" s="17" t="s">
        <v>285</v>
      </c>
      <c r="C44" s="16" t="s">
        <v>120</v>
      </c>
      <c r="D44" s="16">
        <v>415110</v>
      </c>
      <c r="E44" s="16" t="s">
        <v>40</v>
      </c>
      <c r="F44" s="24">
        <v>45756</v>
      </c>
      <c r="G44" s="24" t="s">
        <v>25</v>
      </c>
      <c r="H44" s="17" t="s">
        <v>343</v>
      </c>
      <c r="I44" s="17" t="s">
        <v>344</v>
      </c>
      <c r="J44" s="19">
        <v>2.0833333333333332E-2</v>
      </c>
      <c r="K44" s="19">
        <v>3.4722222222222224E-2</v>
      </c>
      <c r="L44" s="21">
        <f>CRF_3[[#This Row],[Time Spent on Configuration]]+CRF_3[[#This Row],[Time Spent on Review/Testing]]</f>
        <v>5.5555555555555552E-2</v>
      </c>
      <c r="N44" s="16" t="s">
        <v>36</v>
      </c>
      <c r="O44" s="16" t="s">
        <v>29</v>
      </c>
      <c r="P44" s="16" t="s">
        <v>114</v>
      </c>
      <c r="Q44" s="24">
        <v>45756</v>
      </c>
      <c r="R44" s="16">
        <v>5</v>
      </c>
    </row>
    <row r="45" spans="1:18" ht="230.4" hidden="1" x14ac:dyDescent="0.3">
      <c r="A45" s="16" t="s">
        <v>155</v>
      </c>
      <c r="B45" s="17" t="s">
        <v>44</v>
      </c>
      <c r="C45" s="16" t="s">
        <v>257</v>
      </c>
      <c r="D45" s="16">
        <v>414696</v>
      </c>
      <c r="E45" s="16" t="s">
        <v>40</v>
      </c>
      <c r="F45" s="24">
        <v>45757</v>
      </c>
      <c r="G45" s="24" t="s">
        <v>242</v>
      </c>
      <c r="H45" s="17" t="s">
        <v>345</v>
      </c>
      <c r="I45" s="17" t="s">
        <v>346</v>
      </c>
      <c r="J45" s="19">
        <v>2.0833333333333332E-2</v>
      </c>
      <c r="K45" s="19">
        <v>2.7777777777777776E-2</v>
      </c>
      <c r="L45" s="21">
        <f>CRF_3[[#This Row],[Time Spent on Configuration]]+CRF_3[[#This Row],[Time Spent on Review/Testing]]</f>
        <v>4.8611111111111105E-2</v>
      </c>
      <c r="N45" s="16" t="s">
        <v>36</v>
      </c>
      <c r="O45" s="16" t="s">
        <v>29</v>
      </c>
      <c r="P45" s="16" t="s">
        <v>38</v>
      </c>
      <c r="Q45" s="24">
        <v>45757</v>
      </c>
      <c r="R45" s="16">
        <v>5</v>
      </c>
    </row>
    <row r="46" spans="1:18" ht="216" hidden="1" x14ac:dyDescent="0.3">
      <c r="A46" s="16" t="s">
        <v>155</v>
      </c>
      <c r="B46" s="17" t="s">
        <v>165</v>
      </c>
      <c r="C46" s="16" t="s">
        <v>166</v>
      </c>
      <c r="D46" s="16">
        <v>415107</v>
      </c>
      <c r="E46" s="16" t="s">
        <v>40</v>
      </c>
      <c r="F46" s="24">
        <v>45757</v>
      </c>
      <c r="G46" s="24" t="s">
        <v>242</v>
      </c>
      <c r="H46" s="17" t="s">
        <v>347</v>
      </c>
      <c r="I46" s="17" t="s">
        <v>348</v>
      </c>
      <c r="J46" s="19">
        <v>2.0833333333333332E-2</v>
      </c>
      <c r="K46" s="19">
        <v>2.7777777777777776E-2</v>
      </c>
      <c r="L46" s="21">
        <f>CRF_3[[#This Row],[Time Spent on Configuration]]+CRF_3[[#This Row],[Time Spent on Review/Testing]]</f>
        <v>4.8611111111111105E-2</v>
      </c>
      <c r="N46" s="16" t="s">
        <v>36</v>
      </c>
      <c r="O46" s="16" t="s">
        <v>29</v>
      </c>
      <c r="P46" s="16" t="s">
        <v>114</v>
      </c>
      <c r="Q46" s="24">
        <v>45757</v>
      </c>
      <c r="R46" s="16">
        <v>4</v>
      </c>
    </row>
    <row r="47" spans="1:18" ht="144" x14ac:dyDescent="0.3">
      <c r="A47" s="16" t="s">
        <v>155</v>
      </c>
      <c r="B47" s="17" t="s">
        <v>93</v>
      </c>
      <c r="C47" s="16" t="s">
        <v>23</v>
      </c>
      <c r="D47" s="16">
        <v>410320</v>
      </c>
      <c r="E47" s="16" t="s">
        <v>40</v>
      </c>
      <c r="F47" s="24">
        <v>45758</v>
      </c>
      <c r="G47" s="24" t="s">
        <v>25</v>
      </c>
      <c r="H47" s="17" t="s">
        <v>349</v>
      </c>
      <c r="I47" s="17" t="s">
        <v>350</v>
      </c>
      <c r="J47" s="19">
        <v>1.3888888888888888E-2</v>
      </c>
      <c r="K47" s="19">
        <v>1.0416666666666666E-2</v>
      </c>
      <c r="L47" s="21">
        <f>CRF_3[[#This Row],[Time Spent on Configuration]]+CRF_3[[#This Row],[Time Spent on Review/Testing]]</f>
        <v>2.4305555555555552E-2</v>
      </c>
      <c r="N47" s="16" t="s">
        <v>36</v>
      </c>
      <c r="O47" s="16" t="s">
        <v>29</v>
      </c>
      <c r="P47" s="16" t="s">
        <v>38</v>
      </c>
      <c r="Q47" s="24">
        <v>45758</v>
      </c>
      <c r="R47" s="16">
        <v>4</v>
      </c>
    </row>
    <row r="48" spans="1:18" ht="172.8" hidden="1" x14ac:dyDescent="0.3">
      <c r="A48" s="16" t="s">
        <v>155</v>
      </c>
      <c r="B48" s="17" t="s">
        <v>285</v>
      </c>
      <c r="C48" s="16" t="s">
        <v>120</v>
      </c>
      <c r="D48" s="16">
        <v>415887</v>
      </c>
      <c r="E48" s="16" t="s">
        <v>40</v>
      </c>
      <c r="F48" s="24">
        <v>45764</v>
      </c>
      <c r="G48" s="24" t="s">
        <v>25</v>
      </c>
      <c r="H48" s="17" t="s">
        <v>351</v>
      </c>
      <c r="I48" s="17" t="s">
        <v>352</v>
      </c>
      <c r="J48" s="19">
        <v>1.3888888888888888E-2</v>
      </c>
      <c r="K48" s="19">
        <v>6.25E-2</v>
      </c>
      <c r="L48" s="21">
        <f>CRF_3[[#This Row],[Time Spent on Configuration]]+CRF_3[[#This Row],[Time Spent on Review/Testing]]</f>
        <v>7.6388888888888895E-2</v>
      </c>
      <c r="N48" s="16" t="s">
        <v>28</v>
      </c>
      <c r="O48" s="16" t="s">
        <v>353</v>
      </c>
      <c r="P48" s="16" t="s">
        <v>114</v>
      </c>
      <c r="Q48" s="24">
        <v>45764</v>
      </c>
      <c r="R48" s="16">
        <v>4</v>
      </c>
    </row>
    <row r="49" spans="1:18" ht="43.2" hidden="1" x14ac:dyDescent="0.3">
      <c r="A49" s="16" t="s">
        <v>155</v>
      </c>
      <c r="B49" s="17" t="s">
        <v>165</v>
      </c>
      <c r="C49" s="16" t="s">
        <v>166</v>
      </c>
      <c r="D49" s="16">
        <v>415973</v>
      </c>
      <c r="E49" s="16" t="s">
        <v>40</v>
      </c>
      <c r="F49" s="24">
        <v>45764</v>
      </c>
      <c r="G49" s="24" t="s">
        <v>25</v>
      </c>
      <c r="H49" s="17" t="s">
        <v>354</v>
      </c>
      <c r="I49" s="17" t="s">
        <v>355</v>
      </c>
      <c r="J49" s="19">
        <v>1.3888888888888888E-2</v>
      </c>
      <c r="K49" s="19">
        <v>4.1666666666666664E-2</v>
      </c>
      <c r="L49" s="21">
        <f>CRF_3[[#This Row],[Time Spent on Configuration]]+CRF_3[[#This Row],[Time Spent on Review/Testing]]</f>
        <v>5.5555555555555552E-2</v>
      </c>
      <c r="N49" s="16" t="s">
        <v>28</v>
      </c>
      <c r="O49" s="16" t="s">
        <v>353</v>
      </c>
      <c r="P49" s="16" t="s">
        <v>114</v>
      </c>
      <c r="Q49" s="24">
        <v>45764</v>
      </c>
      <c r="R49" s="16">
        <v>4</v>
      </c>
    </row>
    <row r="50" spans="1:18" ht="43.2" hidden="1" x14ac:dyDescent="0.3">
      <c r="A50" s="16" t="s">
        <v>155</v>
      </c>
      <c r="B50" s="17" t="s">
        <v>165</v>
      </c>
      <c r="C50" s="16" t="s">
        <v>166</v>
      </c>
      <c r="D50" s="16">
        <v>415973</v>
      </c>
      <c r="E50" s="16" t="s">
        <v>40</v>
      </c>
      <c r="F50" s="24">
        <v>45768</v>
      </c>
      <c r="G50" s="24" t="s">
        <v>242</v>
      </c>
      <c r="H50" s="17" t="s">
        <v>356</v>
      </c>
      <c r="I50" s="17" t="s">
        <v>357</v>
      </c>
      <c r="J50" s="19">
        <v>1.3888888888888888E-2</v>
      </c>
      <c r="K50" s="19"/>
      <c r="L50" s="21">
        <f>CRF_3[[#This Row],[Time Spent on Configuration]]+CRF_3[[#This Row],[Time Spent on Review/Testing]]</f>
        <v>1.3888888888888888E-2</v>
      </c>
      <c r="N50" s="16" t="s">
        <v>28</v>
      </c>
      <c r="P50" s="16" t="s">
        <v>114</v>
      </c>
      <c r="Q50" s="24">
        <v>45768</v>
      </c>
      <c r="R50" s="16">
        <v>4</v>
      </c>
    </row>
    <row r="51" spans="1:18" ht="172.8" hidden="1" x14ac:dyDescent="0.3">
      <c r="A51" s="16" t="s">
        <v>155</v>
      </c>
      <c r="B51" s="17" t="s">
        <v>294</v>
      </c>
      <c r="C51" s="16" t="s">
        <v>295</v>
      </c>
      <c r="D51" s="16">
        <v>415841</v>
      </c>
      <c r="E51" s="16" t="s">
        <v>24</v>
      </c>
      <c r="F51" s="24">
        <v>45770</v>
      </c>
      <c r="G51" s="24" t="s">
        <v>242</v>
      </c>
      <c r="H51" s="17" t="s">
        <v>358</v>
      </c>
      <c r="I51" s="17" t="s">
        <v>359</v>
      </c>
      <c r="J51" s="19">
        <v>3.125E-2</v>
      </c>
      <c r="K51" s="19">
        <v>2.0833333333333332E-2</v>
      </c>
      <c r="L51" s="21">
        <f>CRF_3[[#This Row],[Time Spent on Configuration]]+CRF_3[[#This Row],[Time Spent on Review/Testing]]</f>
        <v>5.2083333333333329E-2</v>
      </c>
      <c r="N51" s="16" t="s">
        <v>28</v>
      </c>
      <c r="O51" s="16" t="s">
        <v>29</v>
      </c>
      <c r="P51" s="16" t="s">
        <v>38</v>
      </c>
      <c r="Q51" s="24">
        <v>45770</v>
      </c>
      <c r="R51" s="16">
        <v>5</v>
      </c>
    </row>
    <row r="52" spans="1:18" ht="115.2" hidden="1" x14ac:dyDescent="0.3">
      <c r="A52" s="16" t="s">
        <v>155</v>
      </c>
      <c r="B52" s="17" t="s">
        <v>360</v>
      </c>
      <c r="C52" s="16" t="s">
        <v>313</v>
      </c>
      <c r="D52" s="16">
        <v>416778</v>
      </c>
      <c r="E52" s="16" t="s">
        <v>24</v>
      </c>
      <c r="F52" s="24">
        <v>45771</v>
      </c>
      <c r="G52" s="24" t="s">
        <v>242</v>
      </c>
      <c r="H52" s="17" t="s">
        <v>361</v>
      </c>
      <c r="I52" s="17" t="s">
        <v>362</v>
      </c>
      <c r="J52" s="19">
        <v>1.7361111111111112E-2</v>
      </c>
      <c r="K52" s="19">
        <v>2.0833333333333332E-2</v>
      </c>
      <c r="L52" s="21">
        <f>CRF_3[[#This Row],[Time Spent on Configuration]]+CRF_3[[#This Row],[Time Spent on Review/Testing]]</f>
        <v>3.8194444444444448E-2</v>
      </c>
      <c r="N52" s="16" t="s">
        <v>29</v>
      </c>
      <c r="O52" s="16" t="s">
        <v>353</v>
      </c>
      <c r="P52" s="16" t="s">
        <v>38</v>
      </c>
      <c r="Q52" s="24">
        <v>45771</v>
      </c>
      <c r="R52" s="16">
        <v>5</v>
      </c>
    </row>
    <row r="53" spans="1:18" ht="230.4" hidden="1" x14ac:dyDescent="0.3">
      <c r="A53" s="16" t="s">
        <v>155</v>
      </c>
      <c r="B53" s="17" t="s">
        <v>109</v>
      </c>
      <c r="C53" s="16" t="s">
        <v>313</v>
      </c>
      <c r="D53" s="16">
        <v>415272</v>
      </c>
      <c r="E53" s="16" t="s">
        <v>24</v>
      </c>
      <c r="F53" s="24">
        <v>45777</v>
      </c>
      <c r="G53" s="24" t="s">
        <v>242</v>
      </c>
      <c r="H53" s="17" t="s">
        <v>363</v>
      </c>
      <c r="I53" s="37" t="s">
        <v>364</v>
      </c>
      <c r="J53" s="19">
        <v>4.1666666666666664E-2</v>
      </c>
      <c r="K53" s="19">
        <v>3.4722222222222224E-2</v>
      </c>
      <c r="L53" s="21">
        <f>CRF_3[[#This Row],[Time Spent on Configuration]]+CRF_3[[#This Row],[Time Spent on Review/Testing]]</f>
        <v>7.6388888888888895E-2</v>
      </c>
      <c r="N53" s="16" t="s">
        <v>28</v>
      </c>
      <c r="O53" s="16" t="s">
        <v>29</v>
      </c>
      <c r="P53" s="16" t="s">
        <v>114</v>
      </c>
      <c r="Q53" s="24">
        <v>45777</v>
      </c>
    </row>
    <row r="54" spans="1:18" ht="158.4" hidden="1" x14ac:dyDescent="0.3">
      <c r="A54" s="16" t="s">
        <v>79</v>
      </c>
      <c r="B54" s="17" t="s">
        <v>170</v>
      </c>
      <c r="C54" s="16" t="s">
        <v>171</v>
      </c>
      <c r="D54" s="16">
        <v>417825</v>
      </c>
      <c r="E54" s="16" t="s">
        <v>24</v>
      </c>
      <c r="F54" s="24">
        <v>45782</v>
      </c>
      <c r="G54" s="24" t="s">
        <v>242</v>
      </c>
      <c r="H54" s="17" t="s">
        <v>365</v>
      </c>
      <c r="I54" s="17" t="s">
        <v>366</v>
      </c>
      <c r="J54" s="19">
        <v>2.0833333333333332E-2</v>
      </c>
      <c r="K54" s="19">
        <v>3.4722222222222224E-2</v>
      </c>
      <c r="L54" s="21">
        <f>CRF_3[[#This Row],[Time Spent on Configuration]]+CRF_3[[#This Row],[Time Spent on Review/Testing]]</f>
        <v>5.5555555555555552E-2</v>
      </c>
      <c r="N54" s="16" t="s">
        <v>36</v>
      </c>
      <c r="O54" s="16" t="s">
        <v>29</v>
      </c>
      <c r="P54" s="16" t="s">
        <v>114</v>
      </c>
      <c r="Q54" s="24">
        <v>45782</v>
      </c>
      <c r="R54" s="16">
        <v>5</v>
      </c>
    </row>
    <row r="55" spans="1:18" ht="158.4" hidden="1" x14ac:dyDescent="0.3">
      <c r="A55" s="16" t="s">
        <v>79</v>
      </c>
      <c r="B55" s="17" t="s">
        <v>309</v>
      </c>
      <c r="C55" s="16" t="s">
        <v>23</v>
      </c>
      <c r="D55" s="16">
        <v>415271</v>
      </c>
      <c r="E55" s="16" t="s">
        <v>24</v>
      </c>
      <c r="F55" s="24">
        <v>45789</v>
      </c>
      <c r="G55" s="24" t="s">
        <v>242</v>
      </c>
      <c r="H55" s="17" t="s">
        <v>367</v>
      </c>
      <c r="I55" s="17" t="s">
        <v>368</v>
      </c>
      <c r="J55" s="19">
        <v>2.0833333333333332E-2</v>
      </c>
      <c r="K55" s="19">
        <v>5.5555555555555552E-2</v>
      </c>
      <c r="L55" s="21">
        <f>CRF_3[[#This Row],[Time Spent on Configuration]]+CRF_3[[#This Row],[Time Spent on Review/Testing]]</f>
        <v>7.6388888888888881E-2</v>
      </c>
      <c r="N55" s="16" t="s">
        <v>36</v>
      </c>
      <c r="O55" s="16" t="s">
        <v>29</v>
      </c>
      <c r="P55" s="16" t="s">
        <v>38</v>
      </c>
      <c r="Q55" s="24">
        <v>45789</v>
      </c>
      <c r="R55" s="16">
        <v>4</v>
      </c>
    </row>
    <row r="56" spans="1:18" ht="288" hidden="1" x14ac:dyDescent="0.3">
      <c r="A56" s="16" t="s">
        <v>79</v>
      </c>
      <c r="B56" s="17" t="s">
        <v>103</v>
      </c>
      <c r="C56" s="16" t="s">
        <v>369</v>
      </c>
      <c r="D56" s="16">
        <v>418141</v>
      </c>
      <c r="E56" s="16" t="s">
        <v>40</v>
      </c>
      <c r="F56" s="24">
        <v>45790</v>
      </c>
      <c r="G56" s="24" t="s">
        <v>242</v>
      </c>
      <c r="H56" s="17" t="s">
        <v>370</v>
      </c>
      <c r="I56" s="17" t="s">
        <v>371</v>
      </c>
      <c r="J56" s="19">
        <v>4.1666666666666664E-2</v>
      </c>
      <c r="K56" s="19">
        <v>9.7222222222222224E-2</v>
      </c>
      <c r="L56" s="21">
        <f>CRF_3[[#This Row],[Time Spent on Configuration]]+CRF_3[[#This Row],[Time Spent on Review/Testing]]</f>
        <v>0.1388888888888889</v>
      </c>
      <c r="N56" s="16" t="s">
        <v>28</v>
      </c>
      <c r="O56" s="16" t="s">
        <v>37</v>
      </c>
      <c r="P56" s="16" t="s">
        <v>38</v>
      </c>
      <c r="Q56" s="24">
        <v>45791</v>
      </c>
      <c r="R56" s="16">
        <v>5</v>
      </c>
    </row>
    <row r="57" spans="1:18" ht="129.6" hidden="1" x14ac:dyDescent="0.3">
      <c r="A57" s="16" t="s">
        <v>79</v>
      </c>
      <c r="B57" s="17" t="s">
        <v>22</v>
      </c>
      <c r="C57" s="16" t="s">
        <v>23</v>
      </c>
      <c r="D57" s="16">
        <v>420317</v>
      </c>
      <c r="E57" s="16" t="s">
        <v>24</v>
      </c>
      <c r="F57" s="24">
        <v>45798</v>
      </c>
      <c r="G57" s="24" t="s">
        <v>25</v>
      </c>
      <c r="H57" s="17" t="s">
        <v>372</v>
      </c>
      <c r="I57" s="17" t="s">
        <v>373</v>
      </c>
      <c r="J57" s="19">
        <v>8.3333333333333329E-2</v>
      </c>
      <c r="K57" s="19">
        <v>3.4722222222222224E-2</v>
      </c>
      <c r="L57" s="21">
        <f>CRF_3[[#This Row],[Time Spent on Configuration]]+CRF_3[[#This Row],[Time Spent on Review/Testing]]</f>
        <v>0.11805555555555555</v>
      </c>
      <c r="N57" s="16" t="s">
        <v>37</v>
      </c>
      <c r="O57" s="16" t="s">
        <v>353</v>
      </c>
      <c r="P57" s="16" t="s">
        <v>374</v>
      </c>
      <c r="Q57" s="24">
        <v>45798</v>
      </c>
      <c r="R57" s="16">
        <v>5</v>
      </c>
    </row>
    <row r="58" spans="1:18" ht="216" x14ac:dyDescent="0.3">
      <c r="A58" s="16" t="s">
        <v>79</v>
      </c>
      <c r="B58" s="17" t="s">
        <v>93</v>
      </c>
      <c r="C58" s="16" t="s">
        <v>23</v>
      </c>
      <c r="D58" s="16">
        <v>410320</v>
      </c>
      <c r="E58" s="16" t="s">
        <v>40</v>
      </c>
      <c r="F58" s="24">
        <v>45799</v>
      </c>
      <c r="G58" s="24" t="s">
        <v>25</v>
      </c>
      <c r="H58" s="17" t="s">
        <v>375</v>
      </c>
      <c r="I58" s="22" t="s">
        <v>376</v>
      </c>
      <c r="J58" s="19">
        <v>4.1666666666666664E-2</v>
      </c>
      <c r="K58" s="19">
        <v>5.5555555555555552E-2</v>
      </c>
      <c r="L58" s="21">
        <f>CRF_3[[#This Row],[Time Spent on Configuration]]+CRF_3[[#This Row],[Time Spent on Review/Testing]]</f>
        <v>9.722222222222221E-2</v>
      </c>
      <c r="N58" s="16" t="s">
        <v>28</v>
      </c>
      <c r="O58" s="16" t="s">
        <v>29</v>
      </c>
      <c r="P58" s="16" t="s">
        <v>291</v>
      </c>
      <c r="Q58" s="24">
        <v>45799</v>
      </c>
      <c r="R58" s="16">
        <v>5</v>
      </c>
    </row>
    <row r="59" spans="1:18" ht="129.6" hidden="1" x14ac:dyDescent="0.3">
      <c r="A59" s="16" t="s">
        <v>79</v>
      </c>
      <c r="B59" s="17" t="s">
        <v>377</v>
      </c>
      <c r="C59" s="16" t="s">
        <v>23</v>
      </c>
      <c r="D59" s="16">
        <v>416332</v>
      </c>
      <c r="E59" s="16" t="s">
        <v>40</v>
      </c>
      <c r="F59" s="24">
        <v>45800</v>
      </c>
      <c r="G59" s="24" t="s">
        <v>81</v>
      </c>
      <c r="H59" s="17" t="s">
        <v>378</v>
      </c>
      <c r="I59" s="17" t="s">
        <v>379</v>
      </c>
      <c r="J59" s="19">
        <v>4.1666666666666664E-2</v>
      </c>
      <c r="K59" s="19">
        <v>4.8611111111111112E-2</v>
      </c>
      <c r="L59" s="21">
        <f>CRF_3[[#This Row],[Time Spent on Configuration]]+CRF_3[[#This Row],[Time Spent on Review/Testing]]</f>
        <v>9.0277777777777776E-2</v>
      </c>
      <c r="N59" s="16" t="s">
        <v>28</v>
      </c>
      <c r="O59" s="16" t="s">
        <v>37</v>
      </c>
      <c r="P59" s="16" t="s">
        <v>38</v>
      </c>
      <c r="Q59" s="24">
        <v>45800</v>
      </c>
      <c r="R59" s="16">
        <v>4</v>
      </c>
    </row>
    <row r="60" spans="1:18" hidden="1" x14ac:dyDescent="0.3">
      <c r="A60" s="16" t="s">
        <v>79</v>
      </c>
      <c r="B60" s="17" t="s">
        <v>285</v>
      </c>
      <c r="C60" s="16" t="s">
        <v>120</v>
      </c>
      <c r="D60" s="16">
        <v>415130</v>
      </c>
      <c r="E60" s="16" t="s">
        <v>40</v>
      </c>
      <c r="F60" s="24">
        <v>45800</v>
      </c>
      <c r="G60" s="24" t="s">
        <v>242</v>
      </c>
      <c r="H60" s="17" t="s">
        <v>380</v>
      </c>
      <c r="I60" s="17" t="s">
        <v>381</v>
      </c>
      <c r="J60" s="19">
        <v>2.0833333333333332E-2</v>
      </c>
      <c r="K60" s="19">
        <v>4.1666666666666664E-2</v>
      </c>
      <c r="L60" s="21">
        <f>CRF_3[[#This Row],[Time Spent on Configuration]]+CRF_3[[#This Row],[Time Spent on Review/Testing]]</f>
        <v>6.25E-2</v>
      </c>
      <c r="N60" s="16" t="s">
        <v>36</v>
      </c>
      <c r="O60" s="16" t="s">
        <v>37</v>
      </c>
      <c r="P60" s="16" t="s">
        <v>114</v>
      </c>
      <c r="Q60" s="24">
        <v>45800</v>
      </c>
      <c r="R60" s="16">
        <v>5</v>
      </c>
    </row>
    <row r="61" spans="1:18" ht="43.2" hidden="1" x14ac:dyDescent="0.3">
      <c r="A61" s="16" t="s">
        <v>79</v>
      </c>
      <c r="B61" s="17" t="s">
        <v>165</v>
      </c>
      <c r="C61" s="16" t="s">
        <v>166</v>
      </c>
      <c r="D61" s="16">
        <v>420868</v>
      </c>
      <c r="E61" s="16" t="s">
        <v>24</v>
      </c>
      <c r="F61" s="24">
        <v>45800</v>
      </c>
      <c r="G61" s="24" t="s">
        <v>87</v>
      </c>
      <c r="H61" s="17" t="s">
        <v>382</v>
      </c>
      <c r="I61" s="17" t="s">
        <v>383</v>
      </c>
      <c r="J61" s="19">
        <v>2.0833333333333332E-2</v>
      </c>
      <c r="K61" s="19">
        <v>6.9444444444444441E-3</v>
      </c>
      <c r="L61" s="21">
        <f>CRF_3[[#This Row],[Time Spent on Configuration]]+CRF_3[[#This Row],[Time Spent on Review/Testing]]</f>
        <v>2.7777777777777776E-2</v>
      </c>
      <c r="N61" s="16" t="s">
        <v>36</v>
      </c>
      <c r="O61" s="16" t="s">
        <v>29</v>
      </c>
      <c r="P61" s="16" t="s">
        <v>114</v>
      </c>
      <c r="Q61" s="24">
        <v>45800</v>
      </c>
      <c r="R61" s="16">
        <v>5</v>
      </c>
    </row>
    <row r="62" spans="1:18" ht="43.2" hidden="1" x14ac:dyDescent="0.3">
      <c r="A62" s="16" t="s">
        <v>79</v>
      </c>
      <c r="B62" s="17" t="s">
        <v>217</v>
      </c>
      <c r="C62" s="16" t="s">
        <v>23</v>
      </c>
      <c r="D62" s="16">
        <v>420868</v>
      </c>
      <c r="E62" s="16" t="s">
        <v>24</v>
      </c>
      <c r="F62" s="24">
        <v>45800</v>
      </c>
      <c r="G62" s="24" t="s">
        <v>87</v>
      </c>
      <c r="H62" s="17" t="s">
        <v>382</v>
      </c>
      <c r="I62" s="17" t="s">
        <v>383</v>
      </c>
      <c r="J62" s="19">
        <v>2.0833333333333332E-2</v>
      </c>
      <c r="K62" s="19">
        <v>6.9444444444444441E-3</v>
      </c>
      <c r="L62" s="21">
        <f>CRF_3[[#This Row],[Time Spent on Configuration]]+CRF_3[[#This Row],[Time Spent on Review/Testing]]</f>
        <v>2.7777777777777776E-2</v>
      </c>
      <c r="N62" s="16" t="s">
        <v>36</v>
      </c>
      <c r="O62" s="16" t="s">
        <v>29</v>
      </c>
      <c r="P62" s="16" t="s">
        <v>114</v>
      </c>
      <c r="Q62" s="24">
        <v>45800</v>
      </c>
      <c r="R62" s="16">
        <v>5</v>
      </c>
    </row>
    <row r="63" spans="1:18" ht="43.2" hidden="1" x14ac:dyDescent="0.3">
      <c r="A63" s="16" t="s">
        <v>79</v>
      </c>
      <c r="B63" s="17" t="s">
        <v>230</v>
      </c>
      <c r="C63" s="16" t="s">
        <v>23</v>
      </c>
      <c r="D63" s="16">
        <v>420868</v>
      </c>
      <c r="E63" s="16" t="s">
        <v>24</v>
      </c>
      <c r="F63" s="24">
        <v>45800</v>
      </c>
      <c r="G63" s="24" t="s">
        <v>87</v>
      </c>
      <c r="H63" s="17" t="s">
        <v>382</v>
      </c>
      <c r="I63" s="17" t="s">
        <v>383</v>
      </c>
      <c r="J63" s="19">
        <v>2.0833333333333332E-2</v>
      </c>
      <c r="K63" s="19">
        <v>6.9444444444444441E-3</v>
      </c>
      <c r="L63" s="21">
        <f>CRF_3[[#This Row],[Time Spent on Configuration]]+CRF_3[[#This Row],[Time Spent on Review/Testing]]</f>
        <v>2.7777777777777776E-2</v>
      </c>
      <c r="N63" s="16" t="s">
        <v>36</v>
      </c>
      <c r="O63" s="16" t="s">
        <v>29</v>
      </c>
      <c r="P63" s="16" t="s">
        <v>114</v>
      </c>
      <c r="Q63" s="24">
        <v>45800</v>
      </c>
      <c r="R63" s="16">
        <v>5</v>
      </c>
    </row>
    <row r="64" spans="1:18" ht="43.2" hidden="1" x14ac:dyDescent="0.3">
      <c r="A64" s="16" t="s">
        <v>79</v>
      </c>
      <c r="B64" s="17" t="s">
        <v>384</v>
      </c>
      <c r="C64" s="16" t="s">
        <v>385</v>
      </c>
      <c r="D64" s="16">
        <v>420868</v>
      </c>
      <c r="E64" s="16" t="s">
        <v>24</v>
      </c>
      <c r="F64" s="24">
        <v>45800</v>
      </c>
      <c r="G64" s="24" t="s">
        <v>87</v>
      </c>
      <c r="H64" s="17" t="s">
        <v>382</v>
      </c>
      <c r="I64" s="17" t="s">
        <v>383</v>
      </c>
      <c r="J64" s="19">
        <v>2.0833333333333332E-2</v>
      </c>
      <c r="K64" s="19">
        <v>6.9444444444444441E-3</v>
      </c>
      <c r="L64" s="21">
        <f>CRF_3[[#This Row],[Time Spent on Configuration]]+CRF_3[[#This Row],[Time Spent on Review/Testing]]</f>
        <v>2.7777777777777776E-2</v>
      </c>
      <c r="N64" s="16" t="s">
        <v>36</v>
      </c>
      <c r="O64" s="16" t="s">
        <v>29</v>
      </c>
      <c r="P64" s="16" t="s">
        <v>114</v>
      </c>
      <c r="Q64" s="24">
        <v>45800</v>
      </c>
      <c r="R64" s="16">
        <v>5</v>
      </c>
    </row>
    <row r="65" spans="1:20" ht="43.2" hidden="1" x14ac:dyDescent="0.3">
      <c r="A65" s="16" t="s">
        <v>79</v>
      </c>
      <c r="B65" s="17" t="s">
        <v>386</v>
      </c>
      <c r="C65" s="16" t="s">
        <v>23</v>
      </c>
      <c r="D65" s="16">
        <v>420868</v>
      </c>
      <c r="E65" s="16" t="s">
        <v>24</v>
      </c>
      <c r="F65" s="24">
        <v>45800</v>
      </c>
      <c r="G65" s="24" t="s">
        <v>87</v>
      </c>
      <c r="H65" s="17" t="s">
        <v>382</v>
      </c>
      <c r="I65" s="17" t="s">
        <v>383</v>
      </c>
      <c r="J65" s="19">
        <v>2.0833333333333332E-2</v>
      </c>
      <c r="K65" s="19">
        <v>6.9444444444444441E-3</v>
      </c>
      <c r="L65" s="21">
        <f>CRF_3[[#This Row],[Time Spent on Configuration]]+CRF_3[[#This Row],[Time Spent on Review/Testing]]</f>
        <v>2.7777777777777776E-2</v>
      </c>
      <c r="N65" s="16" t="s">
        <v>36</v>
      </c>
      <c r="O65" s="16" t="s">
        <v>29</v>
      </c>
      <c r="P65" s="16" t="s">
        <v>114</v>
      </c>
      <c r="Q65" s="24">
        <v>45800</v>
      </c>
      <c r="R65" s="16">
        <v>5</v>
      </c>
    </row>
    <row r="66" spans="1:20" ht="43.2" hidden="1" x14ac:dyDescent="0.3">
      <c r="A66" s="16" t="s">
        <v>79</v>
      </c>
      <c r="B66" s="17" t="s">
        <v>267</v>
      </c>
      <c r="C66" s="16" t="s">
        <v>120</v>
      </c>
      <c r="D66" s="16">
        <v>420868</v>
      </c>
      <c r="E66" s="16" t="s">
        <v>24</v>
      </c>
      <c r="F66" s="24">
        <v>45800</v>
      </c>
      <c r="G66" s="24" t="s">
        <v>87</v>
      </c>
      <c r="H66" s="17" t="s">
        <v>382</v>
      </c>
      <c r="I66" s="17" t="s">
        <v>383</v>
      </c>
      <c r="J66" s="19">
        <v>2.0833333333333332E-2</v>
      </c>
      <c r="K66" s="19">
        <v>6.9444444444444441E-3</v>
      </c>
      <c r="L66" s="21">
        <f>CRF_3[[#This Row],[Time Spent on Configuration]]+CRF_3[[#This Row],[Time Spent on Review/Testing]]</f>
        <v>2.7777777777777776E-2</v>
      </c>
      <c r="N66" s="16" t="s">
        <v>36</v>
      </c>
      <c r="O66" s="16" t="s">
        <v>29</v>
      </c>
      <c r="P66" s="16" t="s">
        <v>114</v>
      </c>
      <c r="Q66" s="24">
        <v>45800</v>
      </c>
      <c r="R66" s="16">
        <v>5</v>
      </c>
    </row>
    <row r="67" spans="1:20" ht="43.2" hidden="1" x14ac:dyDescent="0.3">
      <c r="A67" s="16" t="s">
        <v>79</v>
      </c>
      <c r="B67" s="17" t="s">
        <v>387</v>
      </c>
      <c r="C67" s="16" t="s">
        <v>171</v>
      </c>
      <c r="D67" s="16">
        <v>420868</v>
      </c>
      <c r="E67" s="16" t="s">
        <v>24</v>
      </c>
      <c r="F67" s="24">
        <v>45800</v>
      </c>
      <c r="G67" s="24" t="s">
        <v>87</v>
      </c>
      <c r="H67" s="17" t="s">
        <v>382</v>
      </c>
      <c r="I67" s="17" t="s">
        <v>383</v>
      </c>
      <c r="J67" s="19">
        <v>2.0833333333333332E-2</v>
      </c>
      <c r="K67" s="19">
        <v>6.9444444444444441E-3</v>
      </c>
      <c r="L67" s="21">
        <f>CRF_3[[#This Row],[Time Spent on Configuration]]+CRF_3[[#This Row],[Time Spent on Review/Testing]]</f>
        <v>2.7777777777777776E-2</v>
      </c>
      <c r="N67" s="16" t="s">
        <v>36</v>
      </c>
      <c r="O67" s="16" t="s">
        <v>29</v>
      </c>
      <c r="P67" s="16" t="s">
        <v>114</v>
      </c>
      <c r="Q67" s="24">
        <v>45800</v>
      </c>
      <c r="R67" s="16">
        <v>5</v>
      </c>
    </row>
    <row r="68" spans="1:20" ht="126" hidden="1" customHeight="1" x14ac:dyDescent="0.3">
      <c r="A68" s="16" t="s">
        <v>79</v>
      </c>
      <c r="B68" s="17" t="s">
        <v>39</v>
      </c>
      <c r="C68" s="16" t="s">
        <v>23</v>
      </c>
      <c r="D68" s="16">
        <v>420648</v>
      </c>
      <c r="E68" s="16" t="s">
        <v>40</v>
      </c>
      <c r="F68" s="24">
        <v>45805</v>
      </c>
      <c r="G68" s="24" t="s">
        <v>87</v>
      </c>
      <c r="H68" s="17" t="s">
        <v>388</v>
      </c>
      <c r="I68" s="17" t="s">
        <v>389</v>
      </c>
      <c r="J68" s="19">
        <v>2.0833333333333332E-2</v>
      </c>
      <c r="K68" s="19">
        <v>5.5555555555555552E-2</v>
      </c>
      <c r="L68" s="21">
        <f>CRF_3[[#This Row],[Time Spent on Configuration]]+CRF_3[[#This Row],[Time Spent on Review/Testing]]</f>
        <v>7.6388888888888881E-2</v>
      </c>
      <c r="N68" s="16" t="s">
        <v>28</v>
      </c>
      <c r="O68" s="16" t="s">
        <v>29</v>
      </c>
      <c r="P68" s="16" t="s">
        <v>38</v>
      </c>
      <c r="Q68" s="24">
        <v>45805</v>
      </c>
      <c r="R68" s="16">
        <v>4</v>
      </c>
    </row>
    <row r="69" spans="1:20" ht="158.4" hidden="1" x14ac:dyDescent="0.3">
      <c r="A69" s="16" t="s">
        <v>79</v>
      </c>
      <c r="B69" s="17" t="s">
        <v>32</v>
      </c>
      <c r="C69" s="16" t="s">
        <v>23</v>
      </c>
      <c r="D69" s="16">
        <v>421556</v>
      </c>
      <c r="E69" s="16" t="s">
        <v>24</v>
      </c>
      <c r="F69" s="24">
        <v>45805</v>
      </c>
      <c r="G69" s="24" t="s">
        <v>25</v>
      </c>
      <c r="H69" s="17" t="s">
        <v>390</v>
      </c>
      <c r="I69" s="17" t="s">
        <v>391</v>
      </c>
      <c r="J69" s="19">
        <v>3.125E-2</v>
      </c>
      <c r="K69" s="19">
        <v>4.1666666666666664E-2</v>
      </c>
      <c r="L69" s="21">
        <f>CRF_3[[#This Row],[Time Spent on Configuration]]+CRF_3[[#This Row],[Time Spent on Review/Testing]]</f>
        <v>7.2916666666666657E-2</v>
      </c>
      <c r="N69" s="16" t="s">
        <v>37</v>
      </c>
      <c r="O69" s="16" t="s">
        <v>29</v>
      </c>
      <c r="P69" s="16" t="s">
        <v>38</v>
      </c>
      <c r="Q69" s="24">
        <v>45805</v>
      </c>
      <c r="R69" s="16">
        <v>5</v>
      </c>
    </row>
    <row r="70" spans="1:20" ht="28.8" hidden="1" x14ac:dyDescent="0.3">
      <c r="A70" s="16" t="s">
        <v>21</v>
      </c>
      <c r="B70" s="17" t="s">
        <v>285</v>
      </c>
      <c r="C70" s="16" t="s">
        <v>120</v>
      </c>
      <c r="D70" s="16">
        <v>422345</v>
      </c>
      <c r="E70" s="16" t="s">
        <v>24</v>
      </c>
      <c r="F70" s="24">
        <v>45813</v>
      </c>
      <c r="G70" s="24" t="s">
        <v>242</v>
      </c>
      <c r="H70" s="17" t="s">
        <v>392</v>
      </c>
      <c r="I70" s="17" t="s">
        <v>393</v>
      </c>
      <c r="J70" s="19">
        <v>4.1666666666666664E-2</v>
      </c>
      <c r="K70" s="19">
        <v>3.9583333333333331E-2</v>
      </c>
      <c r="L70" s="21">
        <f>CRF_3[[#This Row],[Time Spent on Configuration]]+CRF_3[[#This Row],[Time Spent on Review/Testing]]</f>
        <v>8.1249999999999989E-2</v>
      </c>
      <c r="N70" s="16" t="s">
        <v>28</v>
      </c>
      <c r="O70" s="16" t="s">
        <v>37</v>
      </c>
      <c r="P70" s="16" t="s">
        <v>114</v>
      </c>
      <c r="Q70" s="24">
        <v>45813</v>
      </c>
      <c r="R70" s="16">
        <v>5</v>
      </c>
    </row>
    <row r="71" spans="1:20" ht="244.8" hidden="1" x14ac:dyDescent="0.3">
      <c r="A71" s="16" t="s">
        <v>21</v>
      </c>
      <c r="B71" s="17" t="s">
        <v>267</v>
      </c>
      <c r="C71" s="16" t="s">
        <v>120</v>
      </c>
      <c r="D71" s="16">
        <v>421855</v>
      </c>
      <c r="E71" s="16" t="s">
        <v>40</v>
      </c>
      <c r="F71" s="24">
        <v>45817</v>
      </c>
      <c r="G71" s="24" t="s">
        <v>242</v>
      </c>
      <c r="H71" s="17" t="s">
        <v>394</v>
      </c>
      <c r="I71" s="17" t="s">
        <v>395</v>
      </c>
      <c r="J71" s="19">
        <v>2.4305555555555556E-2</v>
      </c>
      <c r="K71" s="19">
        <v>5.5555555555555552E-2</v>
      </c>
      <c r="L71" s="21">
        <f>CRF_3[[#This Row],[Time Spent on Configuration]]+CRF_3[[#This Row],[Time Spent on Review/Testing]]</f>
        <v>7.9861111111111105E-2</v>
      </c>
      <c r="N71" s="16" t="s">
        <v>28</v>
      </c>
      <c r="O71" s="16" t="s">
        <v>37</v>
      </c>
      <c r="P71" s="16" t="s">
        <v>114</v>
      </c>
      <c r="Q71" s="24">
        <v>45817</v>
      </c>
      <c r="R71" s="16">
        <v>5</v>
      </c>
    </row>
    <row r="72" spans="1:20" ht="43.2" hidden="1" x14ac:dyDescent="0.3">
      <c r="A72" s="16" t="s">
        <v>21</v>
      </c>
      <c r="B72" s="17" t="s">
        <v>360</v>
      </c>
      <c r="C72" s="16" t="s">
        <v>313</v>
      </c>
      <c r="D72" s="16">
        <v>419069</v>
      </c>
      <c r="E72" s="16" t="s">
        <v>24</v>
      </c>
      <c r="F72" s="24">
        <v>45819</v>
      </c>
      <c r="G72" s="24" t="s">
        <v>242</v>
      </c>
      <c r="H72" s="38" t="s">
        <v>396</v>
      </c>
      <c r="I72" s="17" t="s">
        <v>397</v>
      </c>
      <c r="J72" s="19">
        <v>6.9444444444444441E-3</v>
      </c>
      <c r="K72" s="19">
        <v>1.3888888888888888E-2</v>
      </c>
      <c r="L72" s="21">
        <f>CRF_3[[#This Row],[Time Spent on Configuration]]+CRF_3[[#This Row],[Time Spent on Review/Testing]]</f>
        <v>2.0833333333333332E-2</v>
      </c>
      <c r="N72" s="16" t="s">
        <v>37</v>
      </c>
      <c r="O72" s="16" t="s">
        <v>29</v>
      </c>
      <c r="P72" s="16" t="s">
        <v>38</v>
      </c>
      <c r="Q72" s="24">
        <v>45819</v>
      </c>
      <c r="R72" s="16">
        <v>5</v>
      </c>
    </row>
    <row r="73" spans="1:20" ht="43.2" hidden="1" x14ac:dyDescent="0.3">
      <c r="A73" s="16" t="s">
        <v>21</v>
      </c>
      <c r="B73" s="17" t="s">
        <v>237</v>
      </c>
      <c r="C73" s="54" t="s">
        <v>23</v>
      </c>
      <c r="D73" s="16">
        <v>419069</v>
      </c>
      <c r="E73" s="16" t="s">
        <v>24</v>
      </c>
      <c r="F73" s="24">
        <v>45819</v>
      </c>
      <c r="G73" s="24" t="s">
        <v>242</v>
      </c>
      <c r="H73" s="38" t="s">
        <v>396</v>
      </c>
      <c r="I73" s="17" t="s">
        <v>397</v>
      </c>
      <c r="J73" s="19">
        <v>6.9444444444444441E-3</v>
      </c>
      <c r="K73" s="19">
        <v>1.3888888888888888E-2</v>
      </c>
      <c r="L73" s="21">
        <f>CRF_3[[#This Row],[Time Spent on Configuration]]+CRF_3[[#This Row],[Time Spent on Review/Testing]]</f>
        <v>2.0833333333333332E-2</v>
      </c>
      <c r="N73" s="16" t="s">
        <v>37</v>
      </c>
      <c r="O73" s="16" t="s">
        <v>29</v>
      </c>
      <c r="P73" s="16" t="s">
        <v>38</v>
      </c>
      <c r="Q73" s="24">
        <v>45819</v>
      </c>
      <c r="R73" s="16">
        <v>5</v>
      </c>
    </row>
    <row r="74" spans="1:20" ht="43.2" hidden="1" x14ac:dyDescent="0.3">
      <c r="A74" s="39" t="s">
        <v>21</v>
      </c>
      <c r="B74" s="41" t="s">
        <v>165</v>
      </c>
      <c r="C74" s="43" t="s">
        <v>166</v>
      </c>
      <c r="D74" s="43">
        <v>419069</v>
      </c>
      <c r="E74" s="43" t="s">
        <v>24</v>
      </c>
      <c r="F74" s="45">
        <v>45819</v>
      </c>
      <c r="G74" s="24" t="s">
        <v>242</v>
      </c>
      <c r="H74" s="41" t="s">
        <v>396</v>
      </c>
      <c r="I74" s="41" t="s">
        <v>397</v>
      </c>
      <c r="J74" s="19">
        <v>6.9444444444444441E-3</v>
      </c>
      <c r="K74" s="19">
        <v>1.3888888888888888E-2</v>
      </c>
      <c r="L74" s="21">
        <f>CRF_3[[#This Row],[Time Spent on Configuration]]+CRF_3[[#This Row],[Time Spent on Review/Testing]]</f>
        <v>2.0833333333333332E-2</v>
      </c>
      <c r="M74" s="43"/>
      <c r="N74" s="43" t="s">
        <v>37</v>
      </c>
      <c r="O74" s="16" t="s">
        <v>29</v>
      </c>
      <c r="P74" s="43" t="s">
        <v>398</v>
      </c>
      <c r="Q74" s="45">
        <v>45819</v>
      </c>
      <c r="R74" s="16">
        <v>5</v>
      </c>
      <c r="S74" s="43"/>
      <c r="T74" s="47"/>
    </row>
    <row r="75" spans="1:20" ht="43.2" hidden="1" x14ac:dyDescent="0.3">
      <c r="A75" s="40" t="s">
        <v>21</v>
      </c>
      <c r="B75" s="42" t="s">
        <v>217</v>
      </c>
      <c r="C75" s="44" t="s">
        <v>23</v>
      </c>
      <c r="D75" s="44">
        <v>419069</v>
      </c>
      <c r="E75" s="44" t="s">
        <v>24</v>
      </c>
      <c r="F75" s="46">
        <v>45819</v>
      </c>
      <c r="G75" s="24" t="s">
        <v>242</v>
      </c>
      <c r="H75" s="42" t="s">
        <v>396</v>
      </c>
      <c r="I75" s="42" t="s">
        <v>397</v>
      </c>
      <c r="J75" s="19">
        <v>6.9444444444444441E-3</v>
      </c>
      <c r="K75" s="19">
        <v>1.3888888888888888E-2</v>
      </c>
      <c r="L75" s="21">
        <f>CRF_3[[#This Row],[Time Spent on Configuration]]+CRF_3[[#This Row],[Time Spent on Review/Testing]]</f>
        <v>2.0833333333333332E-2</v>
      </c>
      <c r="M75" s="44"/>
      <c r="N75" s="44" t="s">
        <v>37</v>
      </c>
      <c r="O75" s="16" t="s">
        <v>29</v>
      </c>
      <c r="P75" s="44" t="s">
        <v>398</v>
      </c>
      <c r="Q75" s="46">
        <v>45819</v>
      </c>
      <c r="R75" s="16">
        <v>5</v>
      </c>
      <c r="S75" s="44"/>
      <c r="T75" s="48"/>
    </row>
    <row r="76" spans="1:20" ht="43.2" hidden="1" x14ac:dyDescent="0.3">
      <c r="A76" s="39" t="s">
        <v>21</v>
      </c>
      <c r="B76" s="41" t="s">
        <v>84</v>
      </c>
      <c r="C76" s="43" t="s">
        <v>23</v>
      </c>
      <c r="D76" s="43">
        <v>419069</v>
      </c>
      <c r="E76" s="43" t="s">
        <v>24</v>
      </c>
      <c r="F76" s="45">
        <v>45819</v>
      </c>
      <c r="G76" s="24" t="s">
        <v>242</v>
      </c>
      <c r="H76" s="41" t="s">
        <v>396</v>
      </c>
      <c r="I76" s="41" t="s">
        <v>397</v>
      </c>
      <c r="J76" s="19">
        <v>6.9444444444444441E-3</v>
      </c>
      <c r="K76" s="19">
        <v>1.3888888888888888E-2</v>
      </c>
      <c r="L76" s="21">
        <f>CRF_3[[#This Row],[Time Spent on Configuration]]+CRF_3[[#This Row],[Time Spent on Review/Testing]]</f>
        <v>2.0833333333333332E-2</v>
      </c>
      <c r="M76" s="43"/>
      <c r="N76" s="43" t="s">
        <v>37</v>
      </c>
      <c r="O76" s="16" t="s">
        <v>29</v>
      </c>
      <c r="P76" s="43" t="s">
        <v>38</v>
      </c>
      <c r="Q76" s="45">
        <v>45819</v>
      </c>
      <c r="R76" s="16">
        <v>5</v>
      </c>
      <c r="S76" s="43"/>
      <c r="T76" s="47"/>
    </row>
    <row r="77" spans="1:20" ht="43.2" hidden="1" x14ac:dyDescent="0.3">
      <c r="A77" s="40" t="s">
        <v>21</v>
      </c>
      <c r="B77" s="42" t="s">
        <v>294</v>
      </c>
      <c r="C77" s="44" t="s">
        <v>295</v>
      </c>
      <c r="D77" s="44">
        <v>419069</v>
      </c>
      <c r="E77" s="44" t="s">
        <v>24</v>
      </c>
      <c r="F77" s="46">
        <v>45819</v>
      </c>
      <c r="G77" s="24" t="s">
        <v>242</v>
      </c>
      <c r="H77" s="42" t="s">
        <v>396</v>
      </c>
      <c r="I77" s="42" t="s">
        <v>397</v>
      </c>
      <c r="J77" s="19">
        <v>6.9444444444444441E-3</v>
      </c>
      <c r="K77" s="19">
        <v>1.3888888888888888E-2</v>
      </c>
      <c r="L77" s="21">
        <f>CRF_3[[#This Row],[Time Spent on Configuration]]+CRF_3[[#This Row],[Time Spent on Review/Testing]]</f>
        <v>2.0833333333333332E-2</v>
      </c>
      <c r="M77" s="44"/>
      <c r="N77" s="44" t="s">
        <v>37</v>
      </c>
      <c r="O77" s="16" t="s">
        <v>29</v>
      </c>
      <c r="P77" s="44" t="s">
        <v>38</v>
      </c>
      <c r="Q77" s="46">
        <v>45819</v>
      </c>
      <c r="R77" s="16">
        <v>5</v>
      </c>
      <c r="S77" s="44"/>
      <c r="T77" s="48"/>
    </row>
    <row r="78" spans="1:20" ht="43.2" hidden="1" x14ac:dyDescent="0.3">
      <c r="A78" s="39" t="s">
        <v>21</v>
      </c>
      <c r="B78" s="41" t="s">
        <v>144</v>
      </c>
      <c r="C78" s="43" t="s">
        <v>23</v>
      </c>
      <c r="D78" s="43">
        <v>419069</v>
      </c>
      <c r="E78" s="43" t="s">
        <v>24</v>
      </c>
      <c r="F78" s="45">
        <v>45819</v>
      </c>
      <c r="G78" s="24" t="s">
        <v>242</v>
      </c>
      <c r="H78" s="41" t="s">
        <v>396</v>
      </c>
      <c r="I78" s="41" t="s">
        <v>397</v>
      </c>
      <c r="J78" s="19">
        <v>6.9444444444444441E-3</v>
      </c>
      <c r="K78" s="19">
        <v>1.3888888888888888E-2</v>
      </c>
      <c r="L78" s="21">
        <f>CRF_3[[#This Row],[Time Spent on Configuration]]+CRF_3[[#This Row],[Time Spent on Review/Testing]]</f>
        <v>2.0833333333333332E-2</v>
      </c>
      <c r="M78" s="43"/>
      <c r="N78" s="43" t="s">
        <v>37</v>
      </c>
      <c r="O78" s="16" t="s">
        <v>29</v>
      </c>
      <c r="P78" s="43" t="s">
        <v>398</v>
      </c>
      <c r="Q78" s="45">
        <v>45819</v>
      </c>
      <c r="R78" s="16">
        <v>5</v>
      </c>
      <c r="S78" s="43"/>
      <c r="T78" s="47"/>
    </row>
    <row r="79" spans="1:20" ht="43.2" hidden="1" x14ac:dyDescent="0.3">
      <c r="A79" s="40" t="s">
        <v>21</v>
      </c>
      <c r="B79" s="42" t="s">
        <v>103</v>
      </c>
      <c r="C79" s="44" t="s">
        <v>369</v>
      </c>
      <c r="D79" s="44">
        <v>419069</v>
      </c>
      <c r="E79" s="44" t="s">
        <v>24</v>
      </c>
      <c r="F79" s="46">
        <v>45819</v>
      </c>
      <c r="G79" s="24" t="s">
        <v>242</v>
      </c>
      <c r="H79" s="42" t="s">
        <v>396</v>
      </c>
      <c r="I79" s="42" t="s">
        <v>397</v>
      </c>
      <c r="J79" s="19">
        <v>6.9444444444444441E-3</v>
      </c>
      <c r="K79" s="19">
        <v>1.3888888888888888E-2</v>
      </c>
      <c r="L79" s="21">
        <f>CRF_3[[#This Row],[Time Spent on Configuration]]+CRF_3[[#This Row],[Time Spent on Review/Testing]]</f>
        <v>2.0833333333333332E-2</v>
      </c>
      <c r="M79" s="44"/>
      <c r="N79" s="44" t="s">
        <v>37</v>
      </c>
      <c r="O79" s="16" t="s">
        <v>29</v>
      </c>
      <c r="P79" s="44" t="s">
        <v>38</v>
      </c>
      <c r="Q79" s="46">
        <v>45819</v>
      </c>
      <c r="R79" s="16">
        <v>5</v>
      </c>
      <c r="S79" s="44"/>
      <c r="T79" s="48"/>
    </row>
    <row r="80" spans="1:20" ht="43.2" hidden="1" x14ac:dyDescent="0.3">
      <c r="A80" s="39" t="s">
        <v>21</v>
      </c>
      <c r="B80" s="17" t="s">
        <v>384</v>
      </c>
      <c r="C80" s="43" t="s">
        <v>385</v>
      </c>
      <c r="D80" s="43">
        <v>419069</v>
      </c>
      <c r="E80" s="43" t="s">
        <v>24</v>
      </c>
      <c r="F80" s="45">
        <v>45819</v>
      </c>
      <c r="G80" s="24" t="s">
        <v>242</v>
      </c>
      <c r="H80" s="41" t="s">
        <v>396</v>
      </c>
      <c r="I80" s="41" t="s">
        <v>397</v>
      </c>
      <c r="J80" s="19">
        <v>6.9444444444444441E-3</v>
      </c>
      <c r="K80" s="19">
        <v>1.3888888888888888E-2</v>
      </c>
      <c r="L80" s="21">
        <f>CRF_3[[#This Row],[Time Spent on Configuration]]+CRF_3[[#This Row],[Time Spent on Review/Testing]]</f>
        <v>2.0833333333333332E-2</v>
      </c>
      <c r="M80" s="43"/>
      <c r="N80" s="43" t="s">
        <v>37</v>
      </c>
      <c r="O80" s="16" t="s">
        <v>29</v>
      </c>
      <c r="P80" s="43" t="s">
        <v>398</v>
      </c>
      <c r="Q80" s="45">
        <v>45819</v>
      </c>
      <c r="R80" s="16">
        <v>5</v>
      </c>
      <c r="S80" s="43"/>
      <c r="T80" s="47"/>
    </row>
    <row r="81" spans="1:20" ht="43.2" hidden="1" x14ac:dyDescent="0.3">
      <c r="A81" s="40" t="s">
        <v>21</v>
      </c>
      <c r="B81" s="42" t="s">
        <v>399</v>
      </c>
      <c r="C81" s="44" t="s">
        <v>400</v>
      </c>
      <c r="D81" s="44">
        <v>419069</v>
      </c>
      <c r="E81" s="44" t="s">
        <v>24</v>
      </c>
      <c r="F81" s="46">
        <v>45819</v>
      </c>
      <c r="G81" s="24" t="s">
        <v>242</v>
      </c>
      <c r="H81" s="42" t="s">
        <v>396</v>
      </c>
      <c r="I81" s="42" t="s">
        <v>397</v>
      </c>
      <c r="J81" s="19">
        <v>6.9444444444444441E-3</v>
      </c>
      <c r="K81" s="19">
        <v>1.3888888888888888E-2</v>
      </c>
      <c r="L81" s="21">
        <f>CRF_3[[#This Row],[Time Spent on Configuration]]+CRF_3[[#This Row],[Time Spent on Review/Testing]]</f>
        <v>2.0833333333333332E-2</v>
      </c>
      <c r="M81" s="44"/>
      <c r="N81" s="44" t="s">
        <v>37</v>
      </c>
      <c r="O81" s="16" t="s">
        <v>29</v>
      </c>
      <c r="P81" s="44" t="s">
        <v>374</v>
      </c>
      <c r="Q81" s="46">
        <v>45819</v>
      </c>
      <c r="R81" s="16">
        <v>5</v>
      </c>
      <c r="S81" s="44"/>
      <c r="T81" s="48"/>
    </row>
    <row r="82" spans="1:20" ht="43.2" hidden="1" x14ac:dyDescent="0.3">
      <c r="A82" s="39" t="s">
        <v>21</v>
      </c>
      <c r="B82" s="41" t="s">
        <v>80</v>
      </c>
      <c r="C82" s="43" t="s">
        <v>23</v>
      </c>
      <c r="D82" s="43">
        <v>419069</v>
      </c>
      <c r="E82" s="43" t="s">
        <v>24</v>
      </c>
      <c r="F82" s="45">
        <v>45819</v>
      </c>
      <c r="G82" s="24" t="s">
        <v>242</v>
      </c>
      <c r="H82" s="41" t="s">
        <v>396</v>
      </c>
      <c r="I82" s="41" t="s">
        <v>397</v>
      </c>
      <c r="J82" s="19">
        <v>6.9444444444444441E-3</v>
      </c>
      <c r="K82" s="19">
        <v>1.3888888888888888E-2</v>
      </c>
      <c r="L82" s="21">
        <f>CRF_3[[#This Row],[Time Spent on Configuration]]+CRF_3[[#This Row],[Time Spent on Review/Testing]]</f>
        <v>2.0833333333333332E-2</v>
      </c>
      <c r="M82" s="43"/>
      <c r="N82" s="43" t="s">
        <v>37</v>
      </c>
      <c r="O82" s="16" t="s">
        <v>29</v>
      </c>
      <c r="P82" s="43" t="s">
        <v>374</v>
      </c>
      <c r="Q82" s="45">
        <v>45819</v>
      </c>
      <c r="R82" s="16">
        <v>5</v>
      </c>
      <c r="S82" s="43"/>
      <c r="T82" s="47"/>
    </row>
    <row r="83" spans="1:20" ht="43.2" hidden="1" x14ac:dyDescent="0.3">
      <c r="A83" s="40" t="s">
        <v>21</v>
      </c>
      <c r="B83" s="42" t="s">
        <v>401</v>
      </c>
      <c r="C83" s="44" t="s">
        <v>402</v>
      </c>
      <c r="D83" s="44">
        <v>419069</v>
      </c>
      <c r="E83" s="44" t="s">
        <v>24</v>
      </c>
      <c r="F83" s="46">
        <v>45819</v>
      </c>
      <c r="G83" s="24" t="s">
        <v>242</v>
      </c>
      <c r="H83" s="42" t="s">
        <v>396</v>
      </c>
      <c r="I83" s="42" t="s">
        <v>397</v>
      </c>
      <c r="J83" s="19">
        <v>6.9444444444444441E-3</v>
      </c>
      <c r="K83" s="19">
        <v>1.3888888888888888E-2</v>
      </c>
      <c r="L83" s="21">
        <f>CRF_3[[#This Row],[Time Spent on Configuration]]+CRF_3[[#This Row],[Time Spent on Review/Testing]]</f>
        <v>2.0833333333333332E-2</v>
      </c>
      <c r="M83" s="44"/>
      <c r="N83" s="44" t="s">
        <v>37</v>
      </c>
      <c r="O83" s="16" t="s">
        <v>29</v>
      </c>
      <c r="P83" s="44" t="s">
        <v>38</v>
      </c>
      <c r="Q83" s="46">
        <v>45819</v>
      </c>
      <c r="R83" s="16">
        <v>5</v>
      </c>
      <c r="S83" s="44"/>
      <c r="T83" s="48"/>
    </row>
    <row r="84" spans="1:20" ht="43.2" hidden="1" x14ac:dyDescent="0.3">
      <c r="A84" s="39" t="s">
        <v>21</v>
      </c>
      <c r="B84" s="41" t="s">
        <v>403</v>
      </c>
      <c r="C84" s="43" t="s">
        <v>404</v>
      </c>
      <c r="D84" s="43">
        <v>419069</v>
      </c>
      <c r="E84" s="43" t="s">
        <v>24</v>
      </c>
      <c r="F84" s="45">
        <v>45819</v>
      </c>
      <c r="G84" s="24" t="s">
        <v>242</v>
      </c>
      <c r="H84" s="41" t="s">
        <v>396</v>
      </c>
      <c r="I84" s="41" t="s">
        <v>397</v>
      </c>
      <c r="J84" s="19">
        <v>6.9444444444444441E-3</v>
      </c>
      <c r="K84" s="19">
        <v>1.3888888888888888E-2</v>
      </c>
      <c r="L84" s="21">
        <f>CRF_3[[#This Row],[Time Spent on Configuration]]+CRF_3[[#This Row],[Time Spent on Review/Testing]]</f>
        <v>2.0833333333333332E-2</v>
      </c>
      <c r="M84" s="43"/>
      <c r="N84" s="43" t="s">
        <v>37</v>
      </c>
      <c r="O84" s="16" t="s">
        <v>29</v>
      </c>
      <c r="P84" s="43" t="s">
        <v>38</v>
      </c>
      <c r="Q84" s="45">
        <v>45819</v>
      </c>
      <c r="R84" s="16">
        <v>5</v>
      </c>
      <c r="S84" s="43"/>
      <c r="T84" s="47"/>
    </row>
    <row r="85" spans="1:20" ht="43.2" hidden="1" x14ac:dyDescent="0.3">
      <c r="A85" s="40" t="s">
        <v>21</v>
      </c>
      <c r="B85" s="42" t="s">
        <v>386</v>
      </c>
      <c r="C85" s="44" t="s">
        <v>23</v>
      </c>
      <c r="D85" s="44">
        <v>419069</v>
      </c>
      <c r="E85" s="44" t="s">
        <v>24</v>
      </c>
      <c r="F85" s="46">
        <v>45819</v>
      </c>
      <c r="G85" s="24" t="s">
        <v>242</v>
      </c>
      <c r="H85" s="42" t="s">
        <v>396</v>
      </c>
      <c r="I85" s="42" t="s">
        <v>397</v>
      </c>
      <c r="J85" s="19">
        <v>6.9444444444444441E-3</v>
      </c>
      <c r="K85" s="19">
        <v>1.3888888888888888E-2</v>
      </c>
      <c r="L85" s="21">
        <f>CRF_3[[#This Row],[Time Spent on Configuration]]+CRF_3[[#This Row],[Time Spent on Review/Testing]]</f>
        <v>2.0833333333333332E-2</v>
      </c>
      <c r="M85" s="44"/>
      <c r="N85" s="44" t="s">
        <v>37</v>
      </c>
      <c r="O85" s="16" t="s">
        <v>29</v>
      </c>
      <c r="P85" s="44" t="s">
        <v>398</v>
      </c>
      <c r="Q85" s="46">
        <v>45819</v>
      </c>
      <c r="R85" s="16">
        <v>5</v>
      </c>
      <c r="S85" s="44"/>
      <c r="T85" s="48"/>
    </row>
    <row r="86" spans="1:20" ht="43.2" hidden="1" x14ac:dyDescent="0.3">
      <c r="A86" s="39" t="s">
        <v>21</v>
      </c>
      <c r="B86" s="41" t="s">
        <v>57</v>
      </c>
      <c r="C86" s="43" t="s">
        <v>58</v>
      </c>
      <c r="D86" s="43">
        <v>419069</v>
      </c>
      <c r="E86" s="43" t="s">
        <v>24</v>
      </c>
      <c r="F86" s="45">
        <v>45819</v>
      </c>
      <c r="G86" s="24" t="s">
        <v>242</v>
      </c>
      <c r="H86" s="41" t="s">
        <v>396</v>
      </c>
      <c r="I86" s="41" t="s">
        <v>397</v>
      </c>
      <c r="J86" s="19">
        <v>6.9444444444444441E-3</v>
      </c>
      <c r="K86" s="19">
        <v>1.3888888888888888E-2</v>
      </c>
      <c r="L86" s="21">
        <f>CRF_3[[#This Row],[Time Spent on Configuration]]+CRF_3[[#This Row],[Time Spent on Review/Testing]]</f>
        <v>2.0833333333333332E-2</v>
      </c>
      <c r="M86" s="43"/>
      <c r="N86" s="43" t="s">
        <v>37</v>
      </c>
      <c r="O86" s="16" t="s">
        <v>29</v>
      </c>
      <c r="P86" s="43" t="s">
        <v>374</v>
      </c>
      <c r="Q86" s="45">
        <v>45819</v>
      </c>
      <c r="R86" s="16">
        <v>5</v>
      </c>
      <c r="S86" s="43"/>
      <c r="T86" s="47"/>
    </row>
    <row r="87" spans="1:20" ht="43.2" hidden="1" x14ac:dyDescent="0.3">
      <c r="A87" s="40" t="s">
        <v>21</v>
      </c>
      <c r="B87" s="42" t="s">
        <v>39</v>
      </c>
      <c r="C87" s="44" t="s">
        <v>23</v>
      </c>
      <c r="D87" s="44">
        <v>419069</v>
      </c>
      <c r="E87" s="44" t="s">
        <v>24</v>
      </c>
      <c r="F87" s="46">
        <v>45819</v>
      </c>
      <c r="G87" s="24" t="s">
        <v>242</v>
      </c>
      <c r="H87" s="42" t="s">
        <v>396</v>
      </c>
      <c r="I87" s="42" t="s">
        <v>397</v>
      </c>
      <c r="J87" s="19">
        <v>6.9444444444444441E-3</v>
      </c>
      <c r="K87" s="19">
        <v>1.3888888888888888E-2</v>
      </c>
      <c r="L87" s="21">
        <f>CRF_3[[#This Row],[Time Spent on Configuration]]+CRF_3[[#This Row],[Time Spent on Review/Testing]]</f>
        <v>2.0833333333333332E-2</v>
      </c>
      <c r="M87" s="44"/>
      <c r="N87" s="44" t="s">
        <v>37</v>
      </c>
      <c r="O87" s="16" t="s">
        <v>29</v>
      </c>
      <c r="P87" s="44" t="s">
        <v>38</v>
      </c>
      <c r="Q87" s="46">
        <v>45819</v>
      </c>
      <c r="R87" s="16">
        <v>5</v>
      </c>
      <c r="S87" s="44"/>
      <c r="T87" s="48"/>
    </row>
    <row r="88" spans="1:20" ht="43.2" hidden="1" x14ac:dyDescent="0.3">
      <c r="A88" s="39" t="s">
        <v>21</v>
      </c>
      <c r="B88" s="41" t="s">
        <v>377</v>
      </c>
      <c r="C88" s="43" t="s">
        <v>23</v>
      </c>
      <c r="D88" s="43">
        <v>419069</v>
      </c>
      <c r="E88" s="43" t="s">
        <v>24</v>
      </c>
      <c r="F88" s="45">
        <v>45819</v>
      </c>
      <c r="G88" s="24" t="s">
        <v>242</v>
      </c>
      <c r="H88" s="41" t="s">
        <v>396</v>
      </c>
      <c r="I88" s="41" t="s">
        <v>397</v>
      </c>
      <c r="J88" s="19">
        <v>6.9444444444444441E-3</v>
      </c>
      <c r="K88" s="19">
        <v>1.3888888888888888E-2</v>
      </c>
      <c r="L88" s="21">
        <f>CRF_3[[#This Row],[Time Spent on Configuration]]+CRF_3[[#This Row],[Time Spent on Review/Testing]]</f>
        <v>2.0833333333333332E-2</v>
      </c>
      <c r="M88" s="43"/>
      <c r="N88" s="43" t="s">
        <v>37</v>
      </c>
      <c r="O88" s="16" t="s">
        <v>29</v>
      </c>
      <c r="P88" s="43" t="s">
        <v>38</v>
      </c>
      <c r="Q88" s="45">
        <v>45819</v>
      </c>
      <c r="R88" s="16">
        <v>5</v>
      </c>
      <c r="S88" s="43"/>
      <c r="T88" s="47"/>
    </row>
    <row r="89" spans="1:20" ht="43.2" x14ac:dyDescent="0.3">
      <c r="A89" s="40" t="s">
        <v>21</v>
      </c>
      <c r="B89" s="42" t="s">
        <v>93</v>
      </c>
      <c r="C89" s="44" t="s">
        <v>23</v>
      </c>
      <c r="D89" s="44">
        <v>419069</v>
      </c>
      <c r="E89" s="44" t="s">
        <v>24</v>
      </c>
      <c r="F89" s="46">
        <v>45819</v>
      </c>
      <c r="G89" s="24" t="s">
        <v>242</v>
      </c>
      <c r="H89" s="42" t="s">
        <v>396</v>
      </c>
      <c r="I89" s="42" t="s">
        <v>397</v>
      </c>
      <c r="J89" s="19">
        <v>6.9444444444444441E-3</v>
      </c>
      <c r="K89" s="19">
        <v>1.3888888888888888E-2</v>
      </c>
      <c r="L89" s="21">
        <f>CRF_3[[#This Row],[Time Spent on Configuration]]+CRF_3[[#This Row],[Time Spent on Review/Testing]]</f>
        <v>2.0833333333333332E-2</v>
      </c>
      <c r="M89" s="44"/>
      <c r="N89" s="44" t="s">
        <v>37</v>
      </c>
      <c r="O89" s="16" t="s">
        <v>29</v>
      </c>
      <c r="P89" s="44" t="s">
        <v>38</v>
      </c>
      <c r="Q89" s="46">
        <v>45819</v>
      </c>
      <c r="R89" s="16">
        <v>5</v>
      </c>
      <c r="S89" s="44"/>
      <c r="T89" s="48"/>
    </row>
    <row r="90" spans="1:20" ht="43.2" hidden="1" x14ac:dyDescent="0.3">
      <c r="A90" s="39" t="s">
        <v>21</v>
      </c>
      <c r="B90" s="41" t="s">
        <v>309</v>
      </c>
      <c r="C90" s="43" t="s">
        <v>23</v>
      </c>
      <c r="D90" s="43">
        <v>419069</v>
      </c>
      <c r="E90" s="43" t="s">
        <v>24</v>
      </c>
      <c r="F90" s="45">
        <v>45819</v>
      </c>
      <c r="G90" s="24" t="s">
        <v>242</v>
      </c>
      <c r="H90" s="41" t="s">
        <v>396</v>
      </c>
      <c r="I90" s="41" t="s">
        <v>397</v>
      </c>
      <c r="J90" s="19">
        <v>6.9444444444444441E-3</v>
      </c>
      <c r="K90" s="19">
        <v>1.3888888888888888E-2</v>
      </c>
      <c r="L90" s="21">
        <f>CRF_3[[#This Row],[Time Spent on Configuration]]+CRF_3[[#This Row],[Time Spent on Review/Testing]]</f>
        <v>2.0833333333333332E-2</v>
      </c>
      <c r="M90" s="43"/>
      <c r="N90" s="43" t="s">
        <v>37</v>
      </c>
      <c r="O90" s="16" t="s">
        <v>29</v>
      </c>
      <c r="P90" s="43" t="s">
        <v>38</v>
      </c>
      <c r="Q90" s="45">
        <v>45819</v>
      </c>
      <c r="R90" s="16">
        <v>5</v>
      </c>
      <c r="S90" s="43"/>
      <c r="T90" s="47"/>
    </row>
    <row r="91" spans="1:20" ht="43.2" hidden="1" x14ac:dyDescent="0.3">
      <c r="A91" s="40" t="s">
        <v>21</v>
      </c>
      <c r="B91" s="42" t="s">
        <v>405</v>
      </c>
      <c r="C91" s="44" t="s">
        <v>23</v>
      </c>
      <c r="D91" s="44">
        <v>419069</v>
      </c>
      <c r="E91" s="44" t="s">
        <v>24</v>
      </c>
      <c r="F91" s="46">
        <v>45819</v>
      </c>
      <c r="G91" s="24" t="s">
        <v>242</v>
      </c>
      <c r="H91" s="42" t="s">
        <v>396</v>
      </c>
      <c r="I91" s="42" t="s">
        <v>397</v>
      </c>
      <c r="J91" s="19">
        <v>6.9444444444444441E-3</v>
      </c>
      <c r="K91" s="19">
        <v>1.3888888888888888E-2</v>
      </c>
      <c r="L91" s="21">
        <f>CRF_3[[#This Row],[Time Spent on Configuration]]+CRF_3[[#This Row],[Time Spent on Review/Testing]]</f>
        <v>2.0833333333333332E-2</v>
      </c>
      <c r="M91" s="44"/>
      <c r="N91" s="44" t="s">
        <v>37</v>
      </c>
      <c r="O91" s="16" t="s">
        <v>29</v>
      </c>
      <c r="P91" s="44" t="s">
        <v>374</v>
      </c>
      <c r="Q91" s="46">
        <v>45819</v>
      </c>
      <c r="R91" s="16">
        <v>5</v>
      </c>
      <c r="S91" s="44"/>
      <c r="T91" s="48"/>
    </row>
    <row r="92" spans="1:20" ht="43.2" hidden="1" x14ac:dyDescent="0.3">
      <c r="A92" s="39" t="s">
        <v>21</v>
      </c>
      <c r="B92" s="41" t="s">
        <v>406</v>
      </c>
      <c r="C92" s="43" t="s">
        <v>23</v>
      </c>
      <c r="D92" s="43">
        <v>419069</v>
      </c>
      <c r="E92" s="43" t="s">
        <v>24</v>
      </c>
      <c r="F92" s="45">
        <v>45819</v>
      </c>
      <c r="G92" s="24" t="s">
        <v>242</v>
      </c>
      <c r="H92" s="41" t="s">
        <v>396</v>
      </c>
      <c r="I92" s="41" t="s">
        <v>397</v>
      </c>
      <c r="J92" s="19">
        <v>6.9444444444444441E-3</v>
      </c>
      <c r="K92" s="19">
        <v>1.3888888888888888E-2</v>
      </c>
      <c r="L92" s="21">
        <f>CRF_3[[#This Row],[Time Spent on Configuration]]+CRF_3[[#This Row],[Time Spent on Review/Testing]]</f>
        <v>2.0833333333333332E-2</v>
      </c>
      <c r="M92" s="43"/>
      <c r="N92" s="43" t="s">
        <v>37</v>
      </c>
      <c r="O92" s="16" t="s">
        <v>29</v>
      </c>
      <c r="P92" s="43" t="s">
        <v>374</v>
      </c>
      <c r="Q92" s="45">
        <v>45819</v>
      </c>
      <c r="R92" s="16">
        <v>5</v>
      </c>
      <c r="S92" s="43"/>
      <c r="T92" s="47"/>
    </row>
    <row r="93" spans="1:20" ht="43.2" hidden="1" x14ac:dyDescent="0.3">
      <c r="A93" s="40" t="s">
        <v>21</v>
      </c>
      <c r="B93" s="42" t="s">
        <v>337</v>
      </c>
      <c r="C93" s="44" t="s">
        <v>313</v>
      </c>
      <c r="D93" s="44">
        <v>419069</v>
      </c>
      <c r="E93" s="44" t="s">
        <v>24</v>
      </c>
      <c r="F93" s="46">
        <v>45819</v>
      </c>
      <c r="G93" s="24" t="s">
        <v>242</v>
      </c>
      <c r="H93" s="42" t="s">
        <v>396</v>
      </c>
      <c r="I93" s="42" t="s">
        <v>397</v>
      </c>
      <c r="J93" s="19">
        <v>6.9444444444444441E-3</v>
      </c>
      <c r="K93" s="19">
        <v>1.3888888888888888E-2</v>
      </c>
      <c r="L93" s="21">
        <f>CRF_3[[#This Row],[Time Spent on Configuration]]+CRF_3[[#This Row],[Time Spent on Review/Testing]]</f>
        <v>2.0833333333333332E-2</v>
      </c>
      <c r="M93" s="44"/>
      <c r="N93" s="44" t="s">
        <v>37</v>
      </c>
      <c r="O93" s="16" t="s">
        <v>29</v>
      </c>
      <c r="P93" s="44" t="s">
        <v>38</v>
      </c>
      <c r="Q93" s="46">
        <v>45819</v>
      </c>
      <c r="R93" s="16">
        <v>5</v>
      </c>
      <c r="S93" s="44"/>
      <c r="T93" s="48"/>
    </row>
    <row r="94" spans="1:20" ht="43.2" hidden="1" x14ac:dyDescent="0.3">
      <c r="A94" s="39" t="s">
        <v>21</v>
      </c>
      <c r="B94" s="41" t="s">
        <v>267</v>
      </c>
      <c r="C94" s="43" t="s">
        <v>120</v>
      </c>
      <c r="D94" s="43">
        <v>419069</v>
      </c>
      <c r="E94" s="43" t="s">
        <v>24</v>
      </c>
      <c r="F94" s="45">
        <v>45819</v>
      </c>
      <c r="G94" s="24" t="s">
        <v>242</v>
      </c>
      <c r="H94" s="41" t="s">
        <v>396</v>
      </c>
      <c r="I94" s="41" t="s">
        <v>397</v>
      </c>
      <c r="J94" s="19">
        <v>6.9444444444444441E-3</v>
      </c>
      <c r="K94" s="19">
        <v>1.3888888888888888E-2</v>
      </c>
      <c r="L94" s="21">
        <f>CRF_3[[#This Row],[Time Spent on Configuration]]+CRF_3[[#This Row],[Time Spent on Review/Testing]]</f>
        <v>2.0833333333333332E-2</v>
      </c>
      <c r="M94" s="43"/>
      <c r="N94" s="43" t="s">
        <v>37</v>
      </c>
      <c r="O94" s="16" t="s">
        <v>29</v>
      </c>
      <c r="P94" s="43" t="s">
        <v>398</v>
      </c>
      <c r="Q94" s="45">
        <v>45819</v>
      </c>
      <c r="R94" s="16">
        <v>5</v>
      </c>
      <c r="S94" s="43"/>
      <c r="T94" s="47"/>
    </row>
    <row r="95" spans="1:20" ht="43.2" hidden="1" x14ac:dyDescent="0.3">
      <c r="A95" s="40" t="s">
        <v>21</v>
      </c>
      <c r="B95" s="42" t="s">
        <v>170</v>
      </c>
      <c r="C95" s="44" t="s">
        <v>171</v>
      </c>
      <c r="D95" s="44">
        <v>419069</v>
      </c>
      <c r="E95" s="44" t="s">
        <v>24</v>
      </c>
      <c r="F95" s="46">
        <v>45819</v>
      </c>
      <c r="G95" s="24" t="s">
        <v>242</v>
      </c>
      <c r="H95" s="42" t="s">
        <v>396</v>
      </c>
      <c r="I95" s="42" t="s">
        <v>397</v>
      </c>
      <c r="J95" s="19">
        <v>6.9444444444444441E-3</v>
      </c>
      <c r="K95" s="19">
        <v>1.3888888888888888E-2</v>
      </c>
      <c r="L95" s="21">
        <f>CRF_3[[#This Row],[Time Spent on Configuration]]+CRF_3[[#This Row],[Time Spent on Review/Testing]]</f>
        <v>2.0833333333333332E-2</v>
      </c>
      <c r="M95" s="44"/>
      <c r="N95" s="44" t="s">
        <v>37</v>
      </c>
      <c r="O95" s="16" t="s">
        <v>29</v>
      </c>
      <c r="P95" s="44" t="s">
        <v>398</v>
      </c>
      <c r="Q95" s="46">
        <v>45819</v>
      </c>
      <c r="R95" s="16">
        <v>5</v>
      </c>
      <c r="S95" s="44"/>
      <c r="T95" s="48"/>
    </row>
    <row r="96" spans="1:20" ht="43.2" hidden="1" x14ac:dyDescent="0.3">
      <c r="A96" s="39" t="s">
        <v>21</v>
      </c>
      <c r="B96" s="41" t="s">
        <v>264</v>
      </c>
      <c r="C96" s="43" t="s">
        <v>369</v>
      </c>
      <c r="D96" s="43">
        <v>419069</v>
      </c>
      <c r="E96" s="43" t="s">
        <v>24</v>
      </c>
      <c r="F96" s="45">
        <v>45819</v>
      </c>
      <c r="G96" s="24" t="s">
        <v>242</v>
      </c>
      <c r="H96" s="41" t="s">
        <v>396</v>
      </c>
      <c r="I96" s="41" t="s">
        <v>397</v>
      </c>
      <c r="J96" s="19">
        <v>6.9444444444444441E-3</v>
      </c>
      <c r="K96" s="19">
        <v>1.3888888888888888E-2</v>
      </c>
      <c r="L96" s="21">
        <f>CRF_3[[#This Row],[Time Spent on Configuration]]+CRF_3[[#This Row],[Time Spent on Review/Testing]]</f>
        <v>2.0833333333333332E-2</v>
      </c>
      <c r="M96" s="43"/>
      <c r="N96" s="43" t="s">
        <v>37</v>
      </c>
      <c r="O96" s="16" t="s">
        <v>29</v>
      </c>
      <c r="P96" s="43" t="s">
        <v>38</v>
      </c>
      <c r="Q96" s="45">
        <v>45819</v>
      </c>
      <c r="R96" s="16">
        <v>5</v>
      </c>
      <c r="S96" s="43"/>
      <c r="T96" s="47"/>
    </row>
    <row r="97" spans="1:20" ht="43.2" hidden="1" x14ac:dyDescent="0.3">
      <c r="A97" s="49" t="s">
        <v>21</v>
      </c>
      <c r="B97" s="50" t="s">
        <v>50</v>
      </c>
      <c r="C97" s="51" t="s">
        <v>23</v>
      </c>
      <c r="D97" s="51">
        <v>419069</v>
      </c>
      <c r="E97" s="51" t="s">
        <v>24</v>
      </c>
      <c r="F97" s="52">
        <v>45819</v>
      </c>
      <c r="G97" s="24" t="s">
        <v>242</v>
      </c>
      <c r="H97" s="50" t="s">
        <v>396</v>
      </c>
      <c r="I97" s="50" t="s">
        <v>397</v>
      </c>
      <c r="J97" s="19">
        <v>6.9444444444444441E-3</v>
      </c>
      <c r="K97" s="19">
        <v>1.3888888888888888E-2</v>
      </c>
      <c r="L97" s="21">
        <f>CRF_3[[#This Row],[Time Spent on Configuration]]+CRF_3[[#This Row],[Time Spent on Review/Testing]]</f>
        <v>2.0833333333333332E-2</v>
      </c>
      <c r="M97" s="51"/>
      <c r="N97" s="51" t="s">
        <v>37</v>
      </c>
      <c r="O97" s="16" t="s">
        <v>29</v>
      </c>
      <c r="P97" s="51" t="s">
        <v>38</v>
      </c>
      <c r="Q97" s="52">
        <v>45819</v>
      </c>
      <c r="R97" s="16">
        <v>5</v>
      </c>
      <c r="S97" s="51"/>
      <c r="T97" s="53"/>
    </row>
    <row r="98" spans="1:20" ht="172.8" hidden="1" x14ac:dyDescent="0.3">
      <c r="A98" s="39" t="s">
        <v>21</v>
      </c>
      <c r="B98" s="17" t="s">
        <v>285</v>
      </c>
      <c r="C98" s="16" t="str">
        <f>_xlfn.XLOOKUP(CRF_3[[#This Row],[Client Name]],B1:B97,C1:C97)</f>
        <v>LumberFi, Inc</v>
      </c>
      <c r="D98" s="16">
        <v>418029</v>
      </c>
      <c r="E98" s="43" t="s">
        <v>40</v>
      </c>
      <c r="F98" s="24">
        <v>45825</v>
      </c>
      <c r="G98" s="24" t="s">
        <v>242</v>
      </c>
      <c r="H98" s="17" t="s">
        <v>407</v>
      </c>
      <c r="I98" s="17" t="s">
        <v>408</v>
      </c>
      <c r="J98" s="19">
        <v>6.25E-2</v>
      </c>
      <c r="K98" s="19">
        <v>6.25E-2</v>
      </c>
      <c r="L98" s="21">
        <f>CRF_3[[#This Row],[Time Spent on Configuration]]+CRF_3[[#This Row],[Time Spent on Review/Testing]]</f>
        <v>0.125</v>
      </c>
      <c r="N98" s="16" t="s">
        <v>28</v>
      </c>
      <c r="O98" s="16" t="s">
        <v>29</v>
      </c>
      <c r="P98" s="16" t="s">
        <v>114</v>
      </c>
      <c r="Q98" s="24">
        <v>45826</v>
      </c>
      <c r="R98" s="16">
        <v>5</v>
      </c>
    </row>
    <row r="99" spans="1:20" ht="273.60000000000002" hidden="1" x14ac:dyDescent="0.3">
      <c r="A99" s="16" t="s">
        <v>21</v>
      </c>
      <c r="B99" s="17" t="s">
        <v>264</v>
      </c>
      <c r="C99" s="16" t="str">
        <f>_xlfn.XLOOKUP(CRF_3[[#This Row],[Client Name]],B2:B98,C2:C98)</f>
        <v>Johnson &amp; Dugan</v>
      </c>
      <c r="D99" s="16">
        <v>424347</v>
      </c>
      <c r="E99" s="43" t="s">
        <v>40</v>
      </c>
      <c r="F99" s="24">
        <v>45832</v>
      </c>
      <c r="G99" s="24" t="s">
        <v>409</v>
      </c>
      <c r="H99" s="17" t="s">
        <v>410</v>
      </c>
      <c r="I99" s="17" t="s">
        <v>411</v>
      </c>
      <c r="J99" s="19">
        <v>1.3888888888888888E-2</v>
      </c>
      <c r="K99" s="19">
        <v>2.0833333333333332E-2</v>
      </c>
      <c r="L99" s="21">
        <f>CRF_3[[#This Row],[Time Spent on Configuration]]+CRF_3[[#This Row],[Time Spent on Review/Testing]]</f>
        <v>3.4722222222222224E-2</v>
      </c>
      <c r="N99" s="16" t="s">
        <v>36</v>
      </c>
      <c r="O99" s="16" t="s">
        <v>29</v>
      </c>
      <c r="P99" s="16" t="s">
        <v>38</v>
      </c>
      <c r="Q99" s="24">
        <v>45832</v>
      </c>
      <c r="R99" s="16">
        <v>5</v>
      </c>
    </row>
    <row r="100" spans="1:20" ht="259.2" x14ac:dyDescent="0.3">
      <c r="A100" s="16" t="s">
        <v>21</v>
      </c>
      <c r="B100" s="17" t="s">
        <v>93</v>
      </c>
      <c r="C100" s="16" t="str">
        <f>_xlfn.XLOOKUP(CRF_3[[#This Row],[Client Name]],B3:B99,C3:C99)</f>
        <v>TrueNorth</v>
      </c>
      <c r="D100" s="16">
        <v>423487</v>
      </c>
      <c r="E100" s="43" t="s">
        <v>40</v>
      </c>
      <c r="F100" s="24">
        <v>45833</v>
      </c>
      <c r="G100" s="24" t="s">
        <v>25</v>
      </c>
      <c r="H100" s="17" t="s">
        <v>412</v>
      </c>
      <c r="I100" s="17" t="s">
        <v>413</v>
      </c>
      <c r="J100" s="19">
        <v>3.125E-2</v>
      </c>
      <c r="K100" s="19">
        <v>5.5555555555555552E-2</v>
      </c>
      <c r="L100" s="21">
        <f>CRF_3[[#This Row],[Time Spent on Configuration]]+CRF_3[[#This Row],[Time Spent on Review/Testing]]</f>
        <v>8.6805555555555552E-2</v>
      </c>
      <c r="N100" s="16" t="s">
        <v>28</v>
      </c>
      <c r="O100" s="16" t="s">
        <v>29</v>
      </c>
      <c r="P100" s="16" t="s">
        <v>38</v>
      </c>
      <c r="Q100" s="24">
        <v>45833</v>
      </c>
      <c r="R100" s="16">
        <v>4</v>
      </c>
    </row>
    <row r="101" spans="1:20" ht="72" hidden="1" x14ac:dyDescent="0.3">
      <c r="A101" s="16" t="s">
        <v>21</v>
      </c>
      <c r="B101" s="17" t="s">
        <v>32</v>
      </c>
      <c r="C101" s="16" t="str">
        <f>_xlfn.XLOOKUP(CRF_3[[#This Row],[Client Name]],B4:B100,C4:C100)</f>
        <v>TrueNorth</v>
      </c>
      <c r="D101" s="16">
        <v>422649</v>
      </c>
      <c r="E101" s="43" t="s">
        <v>24</v>
      </c>
      <c r="F101" s="24">
        <v>45832</v>
      </c>
      <c r="G101" s="24" t="s">
        <v>25</v>
      </c>
      <c r="H101" s="17" t="s">
        <v>414</v>
      </c>
      <c r="I101" s="17" t="s">
        <v>414</v>
      </c>
      <c r="J101" s="19">
        <v>2.0833333333333332E-2</v>
      </c>
      <c r="K101" s="19">
        <v>3.4722222222222224E-2</v>
      </c>
      <c r="L101" s="21">
        <f>CRF_3[[#This Row],[Time Spent on Configuration]]+CRF_3[[#This Row],[Time Spent on Review/Testing]]</f>
        <v>5.5555555555555552E-2</v>
      </c>
      <c r="N101" s="16" t="s">
        <v>36</v>
      </c>
      <c r="O101" s="16" t="s">
        <v>29</v>
      </c>
      <c r="P101" s="16" t="s">
        <v>38</v>
      </c>
      <c r="Q101" s="24">
        <v>45832</v>
      </c>
      <c r="R101" s="16">
        <v>5</v>
      </c>
    </row>
    <row r="102" spans="1:20" ht="43.2" hidden="1" x14ac:dyDescent="0.3">
      <c r="A102" s="16" t="s">
        <v>21</v>
      </c>
      <c r="B102" s="17" t="s">
        <v>144</v>
      </c>
      <c r="C102" s="16" t="str">
        <f>_xlfn.XLOOKUP(CRF_3[[#This Row],[Client Name]],B5:B101,C5:C101)</f>
        <v>TrueNorth</v>
      </c>
      <c r="D102" s="16">
        <v>423715</v>
      </c>
      <c r="E102" s="43" t="s">
        <v>24</v>
      </c>
      <c r="F102" s="24">
        <v>45834</v>
      </c>
      <c r="G102" s="24" t="s">
        <v>302</v>
      </c>
      <c r="H102" s="17" t="s">
        <v>415</v>
      </c>
      <c r="I102" s="22" t="s">
        <v>416</v>
      </c>
      <c r="J102" s="19">
        <v>2.0833333333333332E-2</v>
      </c>
      <c r="K102" s="19">
        <v>2.0833333333333332E-2</v>
      </c>
      <c r="L102" s="21">
        <f>CRF_3[[#This Row],[Time Spent on Configuration]]+CRF_3[[#This Row],[Time Spent on Review/Testing]]</f>
        <v>4.1666666666666664E-2</v>
      </c>
      <c r="N102" s="16" t="s">
        <v>28</v>
      </c>
      <c r="O102" s="16" t="s">
        <v>29</v>
      </c>
      <c r="P102" s="16" t="s">
        <v>114</v>
      </c>
      <c r="Q102" s="24">
        <v>45834</v>
      </c>
      <c r="R102" s="16">
        <v>5</v>
      </c>
    </row>
    <row r="103" spans="1:20" ht="72" hidden="1" x14ac:dyDescent="0.3">
      <c r="A103" s="16" t="s">
        <v>99</v>
      </c>
      <c r="B103" s="17" t="s">
        <v>417</v>
      </c>
      <c r="C103" s="16" t="s">
        <v>418</v>
      </c>
      <c r="D103" s="16">
        <v>418804</v>
      </c>
      <c r="E103" s="16" t="s">
        <v>40</v>
      </c>
      <c r="F103" s="24">
        <v>45839</v>
      </c>
      <c r="G103" s="24" t="s">
        <v>302</v>
      </c>
      <c r="H103" s="17" t="s">
        <v>419</v>
      </c>
      <c r="I103" s="17" t="s">
        <v>420</v>
      </c>
      <c r="J103" s="19">
        <v>1.3888888888888888E-2</v>
      </c>
      <c r="K103" s="19">
        <v>3.4722222222222224E-2</v>
      </c>
      <c r="L103" s="21">
        <f>CRF_3[[#This Row],[Time Spent on Configuration]]+CRF_3[[#This Row],[Time Spent on Review/Testing]]</f>
        <v>4.8611111111111112E-2</v>
      </c>
      <c r="N103" s="16" t="s">
        <v>37</v>
      </c>
      <c r="O103" s="16" t="s">
        <v>29</v>
      </c>
      <c r="P103" s="16" t="s">
        <v>114</v>
      </c>
      <c r="Q103" s="24">
        <v>45839</v>
      </c>
      <c r="R103" s="16">
        <v>5</v>
      </c>
    </row>
    <row r="104" spans="1:20" ht="72" x14ac:dyDescent="0.3">
      <c r="A104" s="16" t="s">
        <v>99</v>
      </c>
      <c r="B104" s="17" t="s">
        <v>93</v>
      </c>
      <c r="C104" s="16" t="s">
        <v>23</v>
      </c>
      <c r="D104" s="16">
        <v>425457</v>
      </c>
      <c r="E104" s="43" t="s">
        <v>24</v>
      </c>
      <c r="F104" s="24">
        <v>45841</v>
      </c>
      <c r="G104" s="24" t="s">
        <v>81</v>
      </c>
      <c r="H104" s="17" t="s">
        <v>421</v>
      </c>
      <c r="I104" s="17" t="s">
        <v>422</v>
      </c>
      <c r="J104" s="19">
        <v>1.3888888888888888E-2</v>
      </c>
      <c r="K104" s="19">
        <v>3.4722222222222224E-2</v>
      </c>
      <c r="L104" s="21">
        <f>CRF_3[[#This Row],[Time Spent on Configuration]]+CRF_3[[#This Row],[Time Spent on Review/Testing]]</f>
        <v>4.8611111111111112E-2</v>
      </c>
      <c r="N104" s="16" t="s">
        <v>37</v>
      </c>
      <c r="O104" s="16" t="s">
        <v>29</v>
      </c>
      <c r="P104" s="16" t="s">
        <v>38</v>
      </c>
      <c r="Q104" s="24">
        <v>45841</v>
      </c>
      <c r="R104" s="16">
        <v>5</v>
      </c>
    </row>
    <row r="105" spans="1:20" ht="72" x14ac:dyDescent="0.3">
      <c r="A105" s="16" t="s">
        <v>99</v>
      </c>
      <c r="B105" s="17" t="s">
        <v>93</v>
      </c>
      <c r="C105" s="16" t="s">
        <v>23</v>
      </c>
      <c r="D105" s="16">
        <v>425761</v>
      </c>
      <c r="E105" s="43" t="s">
        <v>40</v>
      </c>
      <c r="F105" s="24">
        <v>45842</v>
      </c>
      <c r="G105" s="24" t="s">
        <v>242</v>
      </c>
      <c r="H105" s="17" t="s">
        <v>423</v>
      </c>
      <c r="I105" s="17" t="s">
        <v>424</v>
      </c>
      <c r="J105" s="19">
        <v>1.7361111111111112E-2</v>
      </c>
      <c r="K105" s="19">
        <v>3.4722222222222224E-2</v>
      </c>
      <c r="L105" s="21">
        <f>CRF_3[[#This Row],[Time Spent on Configuration]]+CRF_3[[#This Row],[Time Spent on Review/Testing]]</f>
        <v>5.2083333333333336E-2</v>
      </c>
      <c r="N105" s="16" t="s">
        <v>37</v>
      </c>
      <c r="O105" s="16" t="s">
        <v>29</v>
      </c>
      <c r="P105" s="16" t="s">
        <v>38</v>
      </c>
      <c r="Q105" s="24">
        <v>45842</v>
      </c>
      <c r="R105" s="16">
        <v>5</v>
      </c>
    </row>
    <row r="106" spans="1:20" ht="100.8" hidden="1" x14ac:dyDescent="0.3">
      <c r="A106" s="16" t="s">
        <v>99</v>
      </c>
      <c r="B106" s="17" t="s">
        <v>217</v>
      </c>
      <c r="C106" s="16" t="s">
        <v>23</v>
      </c>
      <c r="D106" s="16">
        <v>425582</v>
      </c>
      <c r="E106" s="43" t="s">
        <v>24</v>
      </c>
      <c r="F106" s="24">
        <v>45842</v>
      </c>
      <c r="G106" s="24" t="s">
        <v>242</v>
      </c>
      <c r="H106" s="17" t="s">
        <v>425</v>
      </c>
      <c r="I106" s="17" t="s">
        <v>426</v>
      </c>
      <c r="J106" s="19">
        <v>2.7777777777777776E-2</v>
      </c>
      <c r="K106" s="19">
        <v>3.4722222222222224E-2</v>
      </c>
      <c r="L106" s="21">
        <f>CRF_3[[#This Row],[Time Spent on Configuration]]+CRF_3[[#This Row],[Time Spent on Review/Testing]]</f>
        <v>6.25E-2</v>
      </c>
      <c r="N106" s="16" t="s">
        <v>37</v>
      </c>
      <c r="O106" s="16" t="s">
        <v>29</v>
      </c>
      <c r="P106" s="16" t="s">
        <v>38</v>
      </c>
      <c r="Q106" s="24">
        <v>45842</v>
      </c>
      <c r="R106" s="16">
        <v>5</v>
      </c>
    </row>
    <row r="107" spans="1:20" ht="158.4" hidden="1" x14ac:dyDescent="0.3">
      <c r="A107" s="16" t="s">
        <v>99</v>
      </c>
      <c r="B107" s="17" t="s">
        <v>39</v>
      </c>
      <c r="C107" s="16" t="s">
        <v>23</v>
      </c>
      <c r="D107" s="16">
        <v>424628</v>
      </c>
      <c r="E107" s="43" t="s">
        <v>24</v>
      </c>
      <c r="F107" s="24">
        <v>45842</v>
      </c>
      <c r="G107" s="24" t="s">
        <v>242</v>
      </c>
      <c r="H107" s="17" t="s">
        <v>427</v>
      </c>
      <c r="I107" s="17" t="s">
        <v>428</v>
      </c>
      <c r="J107" s="19">
        <v>2.0833333333333332E-2</v>
      </c>
      <c r="K107" s="19">
        <v>3.4722222222222224E-2</v>
      </c>
      <c r="L107" s="21">
        <f>CRF_3[[#This Row],[Time Spent on Configuration]]+CRF_3[[#This Row],[Time Spent on Review/Testing]]</f>
        <v>5.5555555555555552E-2</v>
      </c>
      <c r="N107" s="16" t="s">
        <v>37</v>
      </c>
      <c r="O107" s="16" t="s">
        <v>29</v>
      </c>
      <c r="P107" s="16" t="s">
        <v>38</v>
      </c>
      <c r="Q107" s="24">
        <v>45842</v>
      </c>
      <c r="R107" s="16">
        <v>5</v>
      </c>
    </row>
    <row r="108" spans="1:20" ht="144" hidden="1" x14ac:dyDescent="0.3">
      <c r="A108" s="16" t="s">
        <v>99</v>
      </c>
      <c r="B108" s="17" t="s">
        <v>103</v>
      </c>
      <c r="C108" s="16" t="s">
        <v>429</v>
      </c>
      <c r="D108" s="16">
        <v>426191</v>
      </c>
      <c r="E108" s="43" t="s">
        <v>40</v>
      </c>
      <c r="F108" s="24">
        <v>45847</v>
      </c>
      <c r="G108" s="24" t="s">
        <v>25</v>
      </c>
      <c r="H108" s="17" t="s">
        <v>430</v>
      </c>
      <c r="I108" s="17" t="s">
        <v>431</v>
      </c>
      <c r="J108" s="19">
        <v>2.0833333333333332E-2</v>
      </c>
      <c r="K108" s="19">
        <v>3.4722222222222224E-2</v>
      </c>
      <c r="L108" s="21">
        <f>CRF_3[[#This Row],[Time Spent on Configuration]]+CRF_3[[#This Row],[Time Spent on Review/Testing]]</f>
        <v>5.5555555555555552E-2</v>
      </c>
      <c r="N108" s="16" t="s">
        <v>36</v>
      </c>
      <c r="O108" s="16" t="s">
        <v>37</v>
      </c>
      <c r="P108" s="16" t="s">
        <v>38</v>
      </c>
      <c r="Q108" s="24">
        <v>45847</v>
      </c>
      <c r="R108" s="16">
        <v>5</v>
      </c>
    </row>
    <row r="109" spans="1:20" ht="129.6" hidden="1" x14ac:dyDescent="0.3">
      <c r="A109" s="16" t="s">
        <v>99</v>
      </c>
      <c r="B109" s="17" t="s">
        <v>32</v>
      </c>
      <c r="C109" s="16" t="s">
        <v>23</v>
      </c>
      <c r="D109" s="16">
        <v>424905</v>
      </c>
      <c r="E109" s="43" t="s">
        <v>24</v>
      </c>
      <c r="F109" s="24">
        <v>45853</v>
      </c>
      <c r="G109" s="24" t="s">
        <v>242</v>
      </c>
      <c r="H109" s="17" t="s">
        <v>432</v>
      </c>
      <c r="I109" s="17" t="s">
        <v>433</v>
      </c>
      <c r="J109" s="19">
        <v>1.3888888888888888E-2</v>
      </c>
      <c r="K109" s="19">
        <v>6.25E-2</v>
      </c>
      <c r="L109" s="21">
        <f>CRF_3[[#This Row],[Time Spent on Configuration]]+CRF_3[[#This Row],[Time Spent on Review/Testing]]</f>
        <v>7.6388888888888895E-2</v>
      </c>
      <c r="N109" s="16" t="s">
        <v>37</v>
      </c>
      <c r="O109" s="16" t="s">
        <v>29</v>
      </c>
      <c r="P109" s="16" t="s">
        <v>38</v>
      </c>
      <c r="Q109" s="24">
        <v>45853</v>
      </c>
      <c r="R109" s="16">
        <v>5</v>
      </c>
    </row>
    <row r="110" spans="1:20" ht="72" hidden="1" x14ac:dyDescent="0.3">
      <c r="A110" s="16" t="s">
        <v>99</v>
      </c>
      <c r="B110" s="17" t="s">
        <v>39</v>
      </c>
      <c r="C110" s="16" t="str">
        <f>_xlfn.XLOOKUP(CRF_3[[#This Row],[Client Name]],B13:B109,C13:C109)</f>
        <v>TrueNorth</v>
      </c>
      <c r="D110" s="16">
        <v>426872</v>
      </c>
      <c r="E110" s="43" t="s">
        <v>40</v>
      </c>
      <c r="F110" s="24">
        <v>45854</v>
      </c>
      <c r="G110" s="24" t="s">
        <v>25</v>
      </c>
      <c r="H110" s="17" t="s">
        <v>434</v>
      </c>
      <c r="I110" s="17" t="s">
        <v>435</v>
      </c>
      <c r="J110" s="19">
        <v>2.0833333333333332E-2</v>
      </c>
      <c r="K110" s="19">
        <v>3.4722222222222224E-2</v>
      </c>
      <c r="L110" s="21">
        <f>CRF_3[[#This Row],[Time Spent on Configuration]]+CRF_3[[#This Row],[Time Spent on Review/Testing]]</f>
        <v>5.5555555555555552E-2</v>
      </c>
      <c r="N110" s="16" t="s">
        <v>28</v>
      </c>
      <c r="O110" s="16" t="s">
        <v>29</v>
      </c>
      <c r="P110" s="16" t="s">
        <v>38</v>
      </c>
      <c r="Q110" s="24">
        <v>45854</v>
      </c>
      <c r="R110" s="16">
        <v>5</v>
      </c>
    </row>
    <row r="111" spans="1:20" ht="115.2" hidden="1" x14ac:dyDescent="0.3">
      <c r="A111" s="16" t="s">
        <v>99</v>
      </c>
      <c r="B111" s="17" t="s">
        <v>115</v>
      </c>
      <c r="C111" s="16" t="s">
        <v>436</v>
      </c>
      <c r="D111" s="16">
        <v>427043</v>
      </c>
      <c r="E111" s="16" t="s">
        <v>24</v>
      </c>
      <c r="F111" s="24">
        <v>45863</v>
      </c>
      <c r="G111" s="24" t="s">
        <v>302</v>
      </c>
      <c r="H111" s="17" t="s">
        <v>437</v>
      </c>
      <c r="I111" s="17" t="s">
        <v>438</v>
      </c>
      <c r="J111" s="19">
        <v>2.0833333333333332E-2</v>
      </c>
      <c r="K111" s="19">
        <v>3.4722222222222224E-2</v>
      </c>
      <c r="L111" s="21">
        <f>CRF_3[[#This Row],[Time Spent on Configuration]]+CRF_3[[#This Row],[Time Spent on Review/Testing]]</f>
        <v>5.5555555555555552E-2</v>
      </c>
      <c r="N111" s="16" t="s">
        <v>37</v>
      </c>
      <c r="O111" s="16" t="s">
        <v>29</v>
      </c>
      <c r="P111" s="16" t="s">
        <v>114</v>
      </c>
      <c r="Q111" s="24">
        <v>45863</v>
      </c>
      <c r="R111" s="16">
        <v>5</v>
      </c>
    </row>
    <row r="112" spans="1:20" ht="86.4" hidden="1" x14ac:dyDescent="0.3">
      <c r="A112" s="16" t="s">
        <v>99</v>
      </c>
      <c r="B112" s="17" t="s">
        <v>439</v>
      </c>
      <c r="C112" s="16" t="s">
        <v>120</v>
      </c>
      <c r="D112" s="16">
        <v>423133</v>
      </c>
      <c r="E112" s="16" t="s">
        <v>40</v>
      </c>
      <c r="F112" s="24">
        <v>45869</v>
      </c>
      <c r="G112" s="24" t="s">
        <v>242</v>
      </c>
      <c r="H112" s="17" t="s">
        <v>440</v>
      </c>
      <c r="I112" s="17" t="s">
        <v>441</v>
      </c>
      <c r="J112" s="19">
        <v>6.9444444444444441E-3</v>
      </c>
      <c r="K112" s="19">
        <v>4.5138888888888888E-2</v>
      </c>
      <c r="L112" s="21">
        <f>CRF_3[[#This Row],[Time Spent on Configuration]]+CRF_3[[#This Row],[Time Spent on Review/Testing]]</f>
        <v>5.2083333333333329E-2</v>
      </c>
      <c r="N112" s="16" t="s">
        <v>37</v>
      </c>
      <c r="O112" s="16" t="s">
        <v>29</v>
      </c>
      <c r="P112" s="16" t="s">
        <v>374</v>
      </c>
      <c r="Q112" s="24">
        <v>45869</v>
      </c>
      <c r="R112" s="16">
        <v>5</v>
      </c>
    </row>
    <row r="113" spans="1:18" ht="407.25" hidden="1" customHeight="1" x14ac:dyDescent="0.3">
      <c r="A113" s="16" t="s">
        <v>216</v>
      </c>
      <c r="B113" s="17" t="s">
        <v>417</v>
      </c>
      <c r="C113" s="16" t="s">
        <v>418</v>
      </c>
      <c r="D113" s="16">
        <v>420654</v>
      </c>
      <c r="E113" s="16" t="s">
        <v>40</v>
      </c>
      <c r="F113" s="24">
        <v>45870</v>
      </c>
      <c r="G113" s="24" t="s">
        <v>25</v>
      </c>
      <c r="H113" s="17" t="s">
        <v>442</v>
      </c>
      <c r="I113" s="17" t="s">
        <v>443</v>
      </c>
      <c r="J113" s="19">
        <v>2.0833333333333332E-2</v>
      </c>
      <c r="K113" s="19">
        <v>7.2916666666666671E-2</v>
      </c>
      <c r="L113" s="21">
        <f>CRF_3[[#This Row],[Time Spent on Configuration]]+CRF_3[[#This Row],[Time Spent on Review/Testing]]</f>
        <v>9.375E-2</v>
      </c>
      <c r="N113" s="16" t="s">
        <v>444</v>
      </c>
      <c r="O113" s="16" t="s">
        <v>37</v>
      </c>
      <c r="P113" s="16" t="s">
        <v>114</v>
      </c>
      <c r="Q113" s="24">
        <v>45870</v>
      </c>
      <c r="R113" s="16">
        <v>5</v>
      </c>
    </row>
    <row r="114" spans="1:18" ht="57.6" hidden="1" x14ac:dyDescent="0.3">
      <c r="A114" s="16" t="s">
        <v>216</v>
      </c>
      <c r="B114" s="17" t="s">
        <v>119</v>
      </c>
      <c r="C114" s="16" t="s">
        <v>120</v>
      </c>
      <c r="D114" s="16">
        <v>429139</v>
      </c>
      <c r="E114" s="16" t="s">
        <v>40</v>
      </c>
      <c r="F114" s="24">
        <v>45874</v>
      </c>
      <c r="G114" s="24" t="s">
        <v>25</v>
      </c>
      <c r="H114" s="17" t="s">
        <v>445</v>
      </c>
      <c r="I114" s="17" t="s">
        <v>446</v>
      </c>
      <c r="J114" s="19">
        <v>1.7361111111111112E-2</v>
      </c>
      <c r="K114" s="19">
        <v>4.1666666666666664E-2</v>
      </c>
      <c r="L114" s="21">
        <f>CRF_3[[#This Row],[Time Spent on Configuration]]+CRF_3[[#This Row],[Time Spent on Review/Testing]]</f>
        <v>5.9027777777777776E-2</v>
      </c>
      <c r="N114" s="16" t="s">
        <v>37</v>
      </c>
      <c r="O114" s="16" t="s">
        <v>29</v>
      </c>
      <c r="P114" s="16" t="s">
        <v>374</v>
      </c>
      <c r="Q114" s="24">
        <v>45874</v>
      </c>
      <c r="R114" s="16">
        <v>5</v>
      </c>
    </row>
    <row r="115" spans="1:18" ht="115.2" x14ac:dyDescent="0.3">
      <c r="A115" s="16" t="s">
        <v>216</v>
      </c>
      <c r="B115" s="17" t="s">
        <v>93</v>
      </c>
      <c r="C115" s="16" t="s">
        <v>23</v>
      </c>
      <c r="D115" s="16">
        <v>428742</v>
      </c>
      <c r="E115" s="16" t="s">
        <v>40</v>
      </c>
      <c r="F115" s="24">
        <v>45875</v>
      </c>
      <c r="G115" s="24" t="s">
        <v>447</v>
      </c>
      <c r="H115" s="17" t="s">
        <v>448</v>
      </c>
      <c r="I115" s="17" t="s">
        <v>449</v>
      </c>
      <c r="J115" s="19">
        <v>2.0833333333333332E-2</v>
      </c>
      <c r="K115" s="19">
        <v>3.8194444444444448E-2</v>
      </c>
      <c r="L115" s="21">
        <f>CRF_3[[#This Row],[Time Spent on Configuration]]+CRF_3[[#This Row],[Time Spent on Review/Testing]]</f>
        <v>5.9027777777777776E-2</v>
      </c>
      <c r="N115" s="16" t="s">
        <v>36</v>
      </c>
      <c r="O115" s="16" t="s">
        <v>37</v>
      </c>
      <c r="P115" s="16" t="s">
        <v>450</v>
      </c>
      <c r="Q115" s="24">
        <v>45875</v>
      </c>
      <c r="R115" s="16">
        <v>5</v>
      </c>
    </row>
    <row r="116" spans="1:18" ht="72" hidden="1" x14ac:dyDescent="0.3">
      <c r="A116" s="16" t="s">
        <v>216</v>
      </c>
      <c r="B116" s="17" t="s">
        <v>32</v>
      </c>
      <c r="C116" s="16" t="s">
        <v>23</v>
      </c>
      <c r="D116" s="16">
        <v>431217</v>
      </c>
      <c r="E116" s="16" t="s">
        <v>24</v>
      </c>
      <c r="F116" s="24">
        <v>45889</v>
      </c>
      <c r="G116" s="24" t="s">
        <v>25</v>
      </c>
      <c r="H116" s="17" t="s">
        <v>451</v>
      </c>
      <c r="I116" s="17" t="s">
        <v>452</v>
      </c>
      <c r="J116" s="19">
        <v>2.0833333333333332E-2</v>
      </c>
      <c r="K116" s="19">
        <v>5.5555555555555552E-2</v>
      </c>
      <c r="L116" s="21">
        <f>CRF_3[[#This Row],[Time Spent on Configuration]]+CRF_3[[#This Row],[Time Spent on Review/Testing]]</f>
        <v>7.6388888888888881E-2</v>
      </c>
      <c r="N116" s="16" t="s">
        <v>37</v>
      </c>
      <c r="O116" s="16" t="s">
        <v>29</v>
      </c>
      <c r="P116" s="16" t="s">
        <v>450</v>
      </c>
      <c r="Q116" s="24">
        <v>45889</v>
      </c>
      <c r="R116" s="16">
        <v>5</v>
      </c>
    </row>
    <row r="117" spans="1:18" ht="28.8" hidden="1" x14ac:dyDescent="0.3">
      <c r="A117" s="16" t="s">
        <v>216</v>
      </c>
      <c r="B117" s="17" t="s">
        <v>126</v>
      </c>
      <c r="C117" s="16" t="s">
        <v>120</v>
      </c>
      <c r="D117" s="16">
        <v>431720</v>
      </c>
      <c r="E117" s="16" t="s">
        <v>40</v>
      </c>
      <c r="F117" s="24">
        <v>45891</v>
      </c>
      <c r="G117" s="24" t="s">
        <v>193</v>
      </c>
      <c r="H117" s="17" t="s">
        <v>453</v>
      </c>
      <c r="I117" s="17" t="s">
        <v>453</v>
      </c>
      <c r="J117" s="19">
        <v>2.0833333333333332E-2</v>
      </c>
      <c r="K117" s="19">
        <v>2.0833333333333332E-2</v>
      </c>
      <c r="L117" s="21">
        <f>CRF_3[[#This Row],[Time Spent on Configuration]]+CRF_3[[#This Row],[Time Spent on Review/Testing]]</f>
        <v>4.1666666666666664E-2</v>
      </c>
      <c r="N117" s="16" t="s">
        <v>36</v>
      </c>
      <c r="O117" s="16" t="s">
        <v>29</v>
      </c>
      <c r="P117" s="16" t="s">
        <v>114</v>
      </c>
      <c r="Q117" s="24">
        <v>45891</v>
      </c>
      <c r="R117" s="16">
        <v>5</v>
      </c>
    </row>
    <row r="118" spans="1:18" ht="100.8" hidden="1" x14ac:dyDescent="0.3">
      <c r="A118" s="16" t="s">
        <v>216</v>
      </c>
      <c r="B118" s="17" t="s">
        <v>439</v>
      </c>
      <c r="C118" s="16" t="s">
        <v>120</v>
      </c>
      <c r="D118" s="16">
        <v>432172</v>
      </c>
      <c r="E118" s="16" t="s">
        <v>40</v>
      </c>
      <c r="F118" s="24">
        <v>45895</v>
      </c>
      <c r="G118" s="24" t="s">
        <v>242</v>
      </c>
      <c r="H118" s="17" t="s">
        <v>454</v>
      </c>
      <c r="I118" s="17" t="s">
        <v>455</v>
      </c>
      <c r="J118" s="19">
        <v>2.0833333333333332E-2</v>
      </c>
      <c r="K118" s="19">
        <v>0</v>
      </c>
      <c r="L118" s="21">
        <f>CRF_3[[#This Row],[Time Spent on Configuration]]+CRF_3[[#This Row],[Time Spent on Review/Testing]]</f>
        <v>2.0833333333333332E-2</v>
      </c>
      <c r="N118" s="16" t="s">
        <v>36</v>
      </c>
      <c r="O118" s="16" t="s">
        <v>28</v>
      </c>
      <c r="P118" s="16" t="s">
        <v>114</v>
      </c>
      <c r="Q118" s="24">
        <v>45895</v>
      </c>
      <c r="R118" s="16">
        <v>5</v>
      </c>
    </row>
    <row r="119" spans="1:18" ht="72" hidden="1" x14ac:dyDescent="0.3">
      <c r="A119" s="16" t="s">
        <v>216</v>
      </c>
      <c r="B119" s="17" t="s">
        <v>217</v>
      </c>
      <c r="C119" s="16" t="s">
        <v>23</v>
      </c>
      <c r="D119" s="16">
        <v>431166</v>
      </c>
      <c r="E119" s="16" t="s">
        <v>24</v>
      </c>
      <c r="F119" s="24">
        <v>45895</v>
      </c>
      <c r="G119" s="24" t="s">
        <v>302</v>
      </c>
      <c r="H119" s="17" t="s">
        <v>456</v>
      </c>
      <c r="I119" s="17" t="s">
        <v>457</v>
      </c>
      <c r="J119" s="19">
        <v>2.0833333333333332E-2</v>
      </c>
      <c r="K119" s="19">
        <v>0</v>
      </c>
      <c r="L119" s="21">
        <f>CRF_3[[#This Row],[Time Spent on Configuration]]+CRF_3[[#This Row],[Time Spent on Review/Testing]]</f>
        <v>2.0833333333333332E-2</v>
      </c>
      <c r="N119" s="16" t="s">
        <v>36</v>
      </c>
      <c r="O119" s="16" t="s">
        <v>458</v>
      </c>
      <c r="P119" s="16" t="s">
        <v>114</v>
      </c>
      <c r="Q119" s="24">
        <v>45895</v>
      </c>
      <c r="R119" s="16">
        <v>5</v>
      </c>
    </row>
    <row r="120" spans="1:18" ht="158.4" x14ac:dyDescent="0.3">
      <c r="A120" s="16" t="s">
        <v>216</v>
      </c>
      <c r="B120" s="17" t="s">
        <v>93</v>
      </c>
      <c r="C120" s="16" t="s">
        <v>23</v>
      </c>
      <c r="D120" s="16">
        <v>432492</v>
      </c>
      <c r="E120" s="16" t="s">
        <v>24</v>
      </c>
      <c r="F120" s="24">
        <v>45897</v>
      </c>
      <c r="G120" s="24" t="s">
        <v>302</v>
      </c>
      <c r="H120" s="17" t="s">
        <v>459</v>
      </c>
      <c r="I120" s="17" t="s">
        <v>460</v>
      </c>
      <c r="J120" s="19">
        <v>2.0833333333333332E-2</v>
      </c>
      <c r="K120" s="19">
        <v>2.0833333333333332E-2</v>
      </c>
      <c r="L120" s="21">
        <f>CRF_3[[#This Row],[Time Spent on Configuration]]+CRF_3[[#This Row],[Time Spent on Review/Testing]]</f>
        <v>4.1666666666666664E-2</v>
      </c>
      <c r="N120" s="16" t="s">
        <v>36</v>
      </c>
      <c r="O120" s="16" t="s">
        <v>29</v>
      </c>
      <c r="P120" s="16" t="s">
        <v>38</v>
      </c>
      <c r="Q120" s="24">
        <v>45897</v>
      </c>
      <c r="R120" s="16">
        <v>5</v>
      </c>
    </row>
    <row r="121" spans="1:18" ht="244.8" hidden="1" x14ac:dyDescent="0.3">
      <c r="A121" s="16" t="s">
        <v>216</v>
      </c>
      <c r="B121" s="17" t="s">
        <v>267</v>
      </c>
      <c r="C121" s="16" t="s">
        <v>120</v>
      </c>
      <c r="D121" s="16">
        <v>429124</v>
      </c>
      <c r="E121" s="16" t="s">
        <v>40</v>
      </c>
      <c r="F121" s="24">
        <v>45897</v>
      </c>
      <c r="G121" s="24" t="s">
        <v>242</v>
      </c>
      <c r="H121" s="17" t="s">
        <v>461</v>
      </c>
      <c r="I121" s="17" t="s">
        <v>462</v>
      </c>
      <c r="J121" s="19">
        <v>2.0833333333333332E-2</v>
      </c>
      <c r="K121" s="19">
        <v>3.4722222222222224E-2</v>
      </c>
      <c r="L121" s="21">
        <f>CRF_3[[#This Row],[Time Spent on Configuration]]+CRF_3[[#This Row],[Time Spent on Review/Testing]]</f>
        <v>5.5555555555555552E-2</v>
      </c>
      <c r="N121" s="16" t="s">
        <v>36</v>
      </c>
      <c r="O121" s="16" t="s">
        <v>29</v>
      </c>
      <c r="P121" s="16" t="s">
        <v>114</v>
      </c>
      <c r="Q121" s="24">
        <v>45897</v>
      </c>
      <c r="R121" s="16">
        <v>5</v>
      </c>
    </row>
    <row r="122" spans="1:18" ht="57.6" hidden="1" x14ac:dyDescent="0.3">
      <c r="A122" s="16" t="s">
        <v>463</v>
      </c>
      <c r="B122" s="17" t="s">
        <v>84</v>
      </c>
      <c r="C122" s="16" t="s">
        <v>23</v>
      </c>
      <c r="D122" s="16">
        <v>433069</v>
      </c>
      <c r="E122" s="16" t="s">
        <v>24</v>
      </c>
      <c r="F122" s="24">
        <v>45902</v>
      </c>
      <c r="G122" s="24" t="s">
        <v>25</v>
      </c>
      <c r="H122" s="17" t="s">
        <v>464</v>
      </c>
      <c r="I122" s="17" t="s">
        <v>465</v>
      </c>
      <c r="J122" s="19">
        <v>2.0833333333333332E-2</v>
      </c>
      <c r="K122" s="19">
        <v>6.25E-2</v>
      </c>
      <c r="L122" s="21">
        <f>CRF_3[[#This Row],[Time Spent on Configuration]]+CRF_3[[#This Row],[Time Spent on Review/Testing]]</f>
        <v>8.3333333333333329E-2</v>
      </c>
      <c r="N122" s="16" t="s">
        <v>43</v>
      </c>
      <c r="O122" s="16" t="s">
        <v>466</v>
      </c>
      <c r="P122" s="16" t="s">
        <v>38</v>
      </c>
      <c r="Q122" s="24">
        <v>45902</v>
      </c>
      <c r="R122" s="16">
        <v>5</v>
      </c>
    </row>
    <row r="123" spans="1:18" ht="144" hidden="1" x14ac:dyDescent="0.3">
      <c r="A123" s="16" t="s">
        <v>463</v>
      </c>
      <c r="B123" s="17" t="s">
        <v>337</v>
      </c>
      <c r="C123" s="16" t="str">
        <f>_xlfn.XLOOKUP(CRF_3[[#This Row],[Client Name]],B26:B122,C26:C122)</f>
        <v>The Benefit Company</v>
      </c>
      <c r="D123" s="16">
        <v>431601</v>
      </c>
      <c r="E123" s="16" t="s">
        <v>24</v>
      </c>
      <c r="F123" s="24">
        <v>45908</v>
      </c>
      <c r="G123" s="24" t="s">
        <v>242</v>
      </c>
      <c r="H123" s="17" t="s">
        <v>467</v>
      </c>
      <c r="I123" s="17" t="s">
        <v>467</v>
      </c>
      <c r="J123" s="19">
        <v>3.125E-2</v>
      </c>
      <c r="K123" s="19">
        <v>4.1666666666666664E-2</v>
      </c>
      <c r="L123" s="21">
        <f>CRF_3[[#This Row],[Time Spent on Configuration]]+CRF_3[[#This Row],[Time Spent on Review/Testing]]</f>
        <v>7.2916666666666657E-2</v>
      </c>
      <c r="N123" s="16" t="s">
        <v>28</v>
      </c>
      <c r="O123" s="16" t="s">
        <v>37</v>
      </c>
      <c r="P123" s="16" t="s">
        <v>38</v>
      </c>
      <c r="Q123" s="24">
        <v>45908</v>
      </c>
      <c r="R123" s="16">
        <v>5</v>
      </c>
    </row>
    <row r="124" spans="1:18" ht="43.2" hidden="1" x14ac:dyDescent="0.3">
      <c r="A124" s="16" t="s">
        <v>463</v>
      </c>
      <c r="B124" s="17" t="s">
        <v>32</v>
      </c>
      <c r="C124" s="16" t="s">
        <v>23</v>
      </c>
      <c r="D124" s="16">
        <v>434177</v>
      </c>
      <c r="E124" s="16" t="s">
        <v>24</v>
      </c>
      <c r="F124" s="24">
        <v>45911</v>
      </c>
      <c r="G124" s="24" t="s">
        <v>25</v>
      </c>
      <c r="H124" s="17" t="s">
        <v>468</v>
      </c>
      <c r="I124" s="17" t="s">
        <v>469</v>
      </c>
      <c r="J124" s="19">
        <v>2.0833333333333332E-2</v>
      </c>
      <c r="K124" s="19">
        <v>4.1666666666666664E-2</v>
      </c>
      <c r="L124" s="21">
        <f>CRF_3[[#This Row],[Time Spent on Configuration]]+CRF_3[[#This Row],[Time Spent on Review/Testing]]</f>
        <v>6.25E-2</v>
      </c>
      <c r="N124" s="16" t="s">
        <v>470</v>
      </c>
      <c r="O124" s="16" t="s">
        <v>37</v>
      </c>
      <c r="P124" s="16" t="s">
        <v>38</v>
      </c>
      <c r="Q124" s="24">
        <v>45911</v>
      </c>
      <c r="R124" s="16">
        <v>5</v>
      </c>
    </row>
    <row r="125" spans="1:18" ht="172.8" hidden="1" x14ac:dyDescent="0.3">
      <c r="A125" s="16" t="s">
        <v>463</v>
      </c>
      <c r="B125" s="17" t="s">
        <v>312</v>
      </c>
      <c r="C125" s="16" t="s">
        <v>313</v>
      </c>
      <c r="D125" s="16">
        <v>433308</v>
      </c>
      <c r="E125" s="16" t="s">
        <v>24</v>
      </c>
      <c r="F125" s="24">
        <v>45912</v>
      </c>
      <c r="G125" s="24" t="s">
        <v>249</v>
      </c>
      <c r="H125" s="17" t="s">
        <v>471</v>
      </c>
      <c r="I125" s="17" t="s">
        <v>472</v>
      </c>
      <c r="J125" s="19">
        <v>2.0833333333333332E-2</v>
      </c>
      <c r="K125" s="19">
        <v>3.4722222222222224E-2</v>
      </c>
      <c r="L125" s="21">
        <f>CRF_3[[#This Row],[Time Spent on Configuration]]+CRF_3[[#This Row],[Time Spent on Review/Testing]]</f>
        <v>5.5555555555555552E-2</v>
      </c>
      <c r="N125" s="16" t="s">
        <v>36</v>
      </c>
      <c r="O125" s="16" t="s">
        <v>37</v>
      </c>
      <c r="P125" s="16" t="s">
        <v>38</v>
      </c>
      <c r="Q125" s="24">
        <v>45912</v>
      </c>
      <c r="R125" s="16">
        <v>5</v>
      </c>
    </row>
    <row r="126" spans="1:18" ht="72" hidden="1" x14ac:dyDescent="0.3">
      <c r="A126" s="16" t="s">
        <v>463</v>
      </c>
      <c r="B126" s="17" t="s">
        <v>417</v>
      </c>
      <c r="C126" s="16" t="str">
        <f>_xlfn.XLOOKUP(CRF_3[[#This Row],[Client Name]],B29:B125,C29:C125)</f>
        <v>Tribridge Partners</v>
      </c>
      <c r="D126" s="16">
        <v>422029</v>
      </c>
      <c r="E126" s="16" t="s">
        <v>40</v>
      </c>
      <c r="F126" s="24">
        <v>45913</v>
      </c>
      <c r="G126" s="24" t="s">
        <v>25</v>
      </c>
      <c r="H126" s="17" t="s">
        <v>473</v>
      </c>
      <c r="I126" s="17" t="s">
        <v>473</v>
      </c>
      <c r="J126" s="19">
        <v>2.0833333333333332E-2</v>
      </c>
      <c r="K126" s="19">
        <v>3.4722222222222224E-2</v>
      </c>
      <c r="L126" s="21">
        <f>CRF_3[[#This Row],[Time Spent on Configuration]]+CRF_3[[#This Row],[Time Spent on Review/Testing]]</f>
        <v>5.5555555555555552E-2</v>
      </c>
      <c r="N126" s="16" t="s">
        <v>28</v>
      </c>
      <c r="O126" s="16" t="s">
        <v>29</v>
      </c>
      <c r="P126" s="16" t="s">
        <v>114</v>
      </c>
      <c r="Q126" s="24">
        <v>45913</v>
      </c>
      <c r="R126" s="16">
        <v>5</v>
      </c>
    </row>
    <row r="127" spans="1:18" ht="273.60000000000002" hidden="1" x14ac:dyDescent="0.3">
      <c r="A127" s="16" t="s">
        <v>463</v>
      </c>
      <c r="B127" s="17" t="s">
        <v>123</v>
      </c>
      <c r="C127" s="16" t="s">
        <v>23</v>
      </c>
      <c r="D127" s="16">
        <v>433679</v>
      </c>
      <c r="E127" s="16" t="s">
        <v>24</v>
      </c>
      <c r="F127" s="24">
        <v>45916</v>
      </c>
      <c r="G127" s="24" t="s">
        <v>242</v>
      </c>
      <c r="H127" s="17" t="s">
        <v>474</v>
      </c>
      <c r="I127" s="17" t="s">
        <v>475</v>
      </c>
      <c r="J127" s="19">
        <v>4.1666666666666664E-2</v>
      </c>
      <c r="K127" s="19">
        <v>4.5138888888888888E-2</v>
      </c>
      <c r="L127" s="21">
        <f>CRF_3[[#This Row],[Time Spent on Configuration]]+CRF_3[[#This Row],[Time Spent on Review/Testing]]</f>
        <v>8.6805555555555552E-2</v>
      </c>
      <c r="N127" s="16" t="s">
        <v>28</v>
      </c>
      <c r="O127" s="16" t="s">
        <v>29</v>
      </c>
      <c r="P127" s="16" t="s">
        <v>114</v>
      </c>
      <c r="Q127" s="24">
        <v>45916</v>
      </c>
      <c r="R127" s="16">
        <v>5</v>
      </c>
    </row>
    <row r="128" spans="1:18" ht="201.6" hidden="1" x14ac:dyDescent="0.3">
      <c r="A128" s="16" t="s">
        <v>463</v>
      </c>
      <c r="B128" s="17" t="s">
        <v>267</v>
      </c>
      <c r="C128" s="16" t="str">
        <f>_xlfn.XLOOKUP(CRF_3[[#This Row],[Client Name]],B31:B127,C31:C127)</f>
        <v>LumberFi, Inc</v>
      </c>
      <c r="D128" s="16">
        <v>429124</v>
      </c>
      <c r="E128" s="16" t="s">
        <v>40</v>
      </c>
      <c r="F128" s="24">
        <v>45917</v>
      </c>
      <c r="G128" s="24" t="s">
        <v>25</v>
      </c>
      <c r="H128" s="17" t="s">
        <v>476</v>
      </c>
      <c r="I128" s="17" t="s">
        <v>477</v>
      </c>
      <c r="J128" s="19">
        <v>3.125E-2</v>
      </c>
      <c r="K128" s="19">
        <v>6.9444444444444448E-2</v>
      </c>
      <c r="L128" s="21">
        <f>CRF_3[[#This Row],[Time Spent on Configuration]]+CRF_3[[#This Row],[Time Spent on Review/Testing]]</f>
        <v>0.10069444444444445</v>
      </c>
      <c r="N128" s="16" t="s">
        <v>28</v>
      </c>
      <c r="O128" s="16" t="s">
        <v>37</v>
      </c>
      <c r="P128" s="16" t="s">
        <v>114</v>
      </c>
      <c r="Q128" s="24">
        <v>45917</v>
      </c>
      <c r="R128" s="16">
        <v>5</v>
      </c>
    </row>
    <row r="129" spans="1:18" ht="28.8" hidden="1" x14ac:dyDescent="0.3">
      <c r="A129" s="16" t="s">
        <v>463</v>
      </c>
      <c r="B129" s="17" t="s">
        <v>115</v>
      </c>
      <c r="C129" s="16" t="s">
        <v>436</v>
      </c>
      <c r="D129" s="16">
        <v>435336</v>
      </c>
      <c r="E129" s="16" t="s">
        <v>40</v>
      </c>
      <c r="F129" s="24">
        <v>45924</v>
      </c>
      <c r="G129" s="24" t="s">
        <v>302</v>
      </c>
      <c r="H129" s="17" t="s">
        <v>478</v>
      </c>
      <c r="I129" s="17" t="s">
        <v>478</v>
      </c>
      <c r="J129" s="19">
        <v>6.9444444444444441E-3</v>
      </c>
      <c r="K129" s="19">
        <v>2.0833333333333332E-2</v>
      </c>
      <c r="L129" s="21">
        <f>CRF_3[[#This Row],[Time Spent on Configuration]]+CRF_3[[#This Row],[Time Spent on Review/Testing]]</f>
        <v>2.7777777777777776E-2</v>
      </c>
      <c r="N129" s="16" t="s">
        <v>37</v>
      </c>
      <c r="O129" s="16" t="s">
        <v>29</v>
      </c>
      <c r="P129" s="16" t="s">
        <v>114</v>
      </c>
      <c r="Q129" s="24">
        <v>45924</v>
      </c>
      <c r="R129" s="16">
        <v>5</v>
      </c>
    </row>
    <row r="130" spans="1:18" hidden="1" x14ac:dyDescent="0.3">
      <c r="A130" s="16" t="s">
        <v>463</v>
      </c>
      <c r="B130" s="17" t="s">
        <v>32</v>
      </c>
      <c r="C130" s="16" t="s">
        <v>23</v>
      </c>
      <c r="D130" s="16">
        <v>435939</v>
      </c>
      <c r="E130" s="16" t="s">
        <v>24</v>
      </c>
      <c r="F130" s="24">
        <v>45925</v>
      </c>
      <c r="G130" s="24" t="s">
        <v>25</v>
      </c>
      <c r="H130" s="17" t="s">
        <v>479</v>
      </c>
      <c r="I130" s="17" t="s">
        <v>479</v>
      </c>
      <c r="J130" s="19">
        <v>2.0833333333333332E-2</v>
      </c>
      <c r="K130" s="19">
        <v>4.1666666666666664E-2</v>
      </c>
      <c r="L130" s="21">
        <f>CRF_3[[#This Row],[Time Spent on Configuration]]+CRF_3[[#This Row],[Time Spent on Review/Testing]]</f>
        <v>6.25E-2</v>
      </c>
      <c r="N130" s="16" t="s">
        <v>43</v>
      </c>
      <c r="O130" s="16" t="s">
        <v>466</v>
      </c>
      <c r="P130" s="16" t="s">
        <v>38</v>
      </c>
      <c r="Q130" s="24">
        <v>45925</v>
      </c>
      <c r="R130" s="16">
        <v>5</v>
      </c>
    </row>
    <row r="131" spans="1:18" ht="230.4" hidden="1" x14ac:dyDescent="0.3">
      <c r="A131" s="16" t="s">
        <v>480</v>
      </c>
      <c r="B131" s="17" t="s">
        <v>44</v>
      </c>
      <c r="C131" s="16" t="s">
        <v>257</v>
      </c>
      <c r="D131" s="16">
        <v>435183</v>
      </c>
      <c r="E131" s="16" t="s">
        <v>40</v>
      </c>
      <c r="F131" s="24">
        <v>45938</v>
      </c>
      <c r="G131" s="24" t="s">
        <v>193</v>
      </c>
      <c r="H131" s="17" t="s">
        <v>481</v>
      </c>
      <c r="I131" s="17" t="s">
        <v>482</v>
      </c>
      <c r="J131" s="19">
        <v>6.9444444444444441E-3</v>
      </c>
      <c r="K131" s="19">
        <v>2.0833333333333332E-2</v>
      </c>
      <c r="L131" s="21">
        <f>CRF_3[[#This Row],[Time Spent on Configuration]]+CRF_3[[#This Row],[Time Spent on Review/Testing]]</f>
        <v>2.7777777777777776E-2</v>
      </c>
      <c r="N131" s="16" t="s">
        <v>37</v>
      </c>
      <c r="O131" s="16" t="s">
        <v>29</v>
      </c>
      <c r="P131" s="16" t="s">
        <v>38</v>
      </c>
      <c r="Q131" s="24">
        <v>45938</v>
      </c>
      <c r="R131" s="16">
        <v>5</v>
      </c>
    </row>
    <row r="132" spans="1:18" ht="201.6" hidden="1" x14ac:dyDescent="0.3">
      <c r="A132" s="16" t="s">
        <v>480</v>
      </c>
      <c r="B132" s="17" t="s">
        <v>57</v>
      </c>
      <c r="C132" s="16" t="s">
        <v>58</v>
      </c>
      <c r="D132" s="16">
        <v>438264</v>
      </c>
      <c r="E132" s="16" t="s">
        <v>24</v>
      </c>
      <c r="F132" s="24">
        <v>45946</v>
      </c>
      <c r="G132" s="24" t="s">
        <v>242</v>
      </c>
      <c r="H132" s="17" t="s">
        <v>483</v>
      </c>
      <c r="I132" s="17" t="s">
        <v>484</v>
      </c>
      <c r="J132" s="19">
        <v>2.0833333333333332E-2</v>
      </c>
      <c r="K132" s="19">
        <v>2.0833333333333332E-2</v>
      </c>
      <c r="L132" s="21">
        <f>CRF_3[[#This Row],[Time Spent on Configuration]]+CRF_3[[#This Row],[Time Spent on Review/Testing]]</f>
        <v>4.1666666666666664E-2</v>
      </c>
      <c r="N132" s="16" t="s">
        <v>36</v>
      </c>
      <c r="O132" s="16" t="s">
        <v>29</v>
      </c>
      <c r="P132" s="16" t="s">
        <v>288</v>
      </c>
      <c r="Q132" s="24">
        <v>45946</v>
      </c>
      <c r="R132" s="16">
        <v>5</v>
      </c>
    </row>
    <row r="133" spans="1:18" ht="28.8" hidden="1" x14ac:dyDescent="0.3">
      <c r="A133" s="16" t="s">
        <v>480</v>
      </c>
      <c r="B133" s="17" t="s">
        <v>485</v>
      </c>
      <c r="C133" s="16" t="s">
        <v>120</v>
      </c>
      <c r="D133" s="16">
        <v>438870</v>
      </c>
      <c r="E133" s="16" t="s">
        <v>40</v>
      </c>
      <c r="F133" s="23">
        <v>45951</v>
      </c>
      <c r="G133" s="24" t="s">
        <v>193</v>
      </c>
      <c r="H133" s="17" t="s">
        <v>486</v>
      </c>
      <c r="I133" s="17" t="s">
        <v>487</v>
      </c>
      <c r="J133" s="19">
        <v>1.0416666666666666E-2</v>
      </c>
      <c r="K133" s="19">
        <v>2.7777777777777776E-2</v>
      </c>
      <c r="L133" s="21">
        <f>CRF_3[[#This Row],[Time Spent on Configuration]]+CRF_3[[#This Row],[Time Spent on Review/Testing]]</f>
        <v>3.8194444444444441E-2</v>
      </c>
      <c r="N133" s="16" t="s">
        <v>37</v>
      </c>
      <c r="O133" s="16" t="s">
        <v>29</v>
      </c>
      <c r="P133" s="16" t="s">
        <v>114</v>
      </c>
      <c r="Q133" s="24">
        <v>45951</v>
      </c>
      <c r="R133" s="16">
        <v>5</v>
      </c>
    </row>
    <row r="134" spans="1:18" ht="129.6" hidden="1" x14ac:dyDescent="0.3">
      <c r="A134" s="16" t="s">
        <v>480</v>
      </c>
      <c r="B134" s="17" t="s">
        <v>132</v>
      </c>
      <c r="C134" s="16" t="s">
        <v>120</v>
      </c>
      <c r="D134" s="16">
        <v>438743</v>
      </c>
      <c r="E134" s="16" t="s">
        <v>24</v>
      </c>
      <c r="F134" s="16" t="s">
        <v>24</v>
      </c>
      <c r="G134" s="24" t="s">
        <v>81</v>
      </c>
      <c r="H134" s="17" t="s">
        <v>488</v>
      </c>
      <c r="I134" s="17" t="s">
        <v>489</v>
      </c>
      <c r="J134" s="19">
        <v>2.0833333333333332E-2</v>
      </c>
      <c r="K134" s="19">
        <v>5.2083333333333336E-2</v>
      </c>
      <c r="L134" s="21">
        <f>CRF_3[[#This Row],[Time Spent on Configuration]]+CRF_3[[#This Row],[Time Spent on Review/Testing]]</f>
        <v>7.2916666666666671E-2</v>
      </c>
      <c r="N134" s="16" t="s">
        <v>28</v>
      </c>
      <c r="O134" s="16" t="s">
        <v>37</v>
      </c>
      <c r="P134" s="16" t="s">
        <v>114</v>
      </c>
      <c r="Q134" s="24">
        <v>45951</v>
      </c>
      <c r="R134" s="16">
        <v>5</v>
      </c>
    </row>
    <row r="135" spans="1:18" ht="43.2" hidden="1" x14ac:dyDescent="0.3">
      <c r="A135" s="16" t="s">
        <v>480</v>
      </c>
      <c r="B135" s="17" t="s">
        <v>217</v>
      </c>
      <c r="C135" s="16" t="s">
        <v>23</v>
      </c>
      <c r="D135" s="16">
        <v>435333</v>
      </c>
      <c r="E135" s="16" t="s">
        <v>24</v>
      </c>
      <c r="F135" s="24">
        <v>45947</v>
      </c>
      <c r="G135" s="24" t="s">
        <v>25</v>
      </c>
      <c r="H135" s="17" t="s">
        <v>490</v>
      </c>
      <c r="I135" s="17" t="s">
        <v>491</v>
      </c>
      <c r="J135" s="19">
        <v>3.4722222222222224E-2</v>
      </c>
      <c r="K135" s="19">
        <v>3.4722222222222224E-2</v>
      </c>
      <c r="L135" s="21">
        <f>CRF_3[[#This Row],[Time Spent on Configuration]]+CRF_3[[#This Row],[Time Spent on Review/Testing]]</f>
        <v>6.9444444444444448E-2</v>
      </c>
      <c r="M135" s="19"/>
      <c r="N135" s="16" t="s">
        <v>43</v>
      </c>
      <c r="O135" s="16" t="s">
        <v>37</v>
      </c>
      <c r="P135" s="16" t="s">
        <v>114</v>
      </c>
      <c r="Q135" s="24">
        <v>45951</v>
      </c>
      <c r="R135" s="16">
        <v>5</v>
      </c>
    </row>
    <row r="136" spans="1:18" ht="409.6" hidden="1" x14ac:dyDescent="0.3">
      <c r="A136" s="16" t="s">
        <v>480</v>
      </c>
      <c r="B136" s="17" t="s">
        <v>401</v>
      </c>
      <c r="C136" s="16" t="str">
        <f>_xlfn.XLOOKUP(CRF_3[[#This Row],[Client Name]],B39:B135,C39:C135)</f>
        <v>Dillingham Benefits</v>
      </c>
      <c r="D136" s="16">
        <v>436074</v>
      </c>
      <c r="E136" s="16" t="s">
        <v>24</v>
      </c>
      <c r="F136" s="24">
        <v>45954</v>
      </c>
      <c r="G136" s="24" t="s">
        <v>25</v>
      </c>
      <c r="H136" s="17" t="s">
        <v>492</v>
      </c>
      <c r="I136" s="17" t="s">
        <v>493</v>
      </c>
      <c r="J136" s="19">
        <v>9.375E-2</v>
      </c>
      <c r="K136" s="19"/>
      <c r="L136" s="21">
        <f>CRF_3[[#This Row],[Time Spent on Configuration]]+CRF_3[[#This Row],[Time Spent on Review/Testing]]</f>
        <v>9.375E-2</v>
      </c>
      <c r="N136" s="16" t="s">
        <v>28</v>
      </c>
      <c r="O136" s="16" t="s">
        <v>37</v>
      </c>
      <c r="P136" s="16" t="s">
        <v>38</v>
      </c>
      <c r="Q136" s="24">
        <v>45954</v>
      </c>
      <c r="R136" s="16">
        <v>4</v>
      </c>
    </row>
    <row r="137" spans="1:18" ht="115.2" hidden="1" x14ac:dyDescent="0.3">
      <c r="A137" s="16" t="s">
        <v>480</v>
      </c>
      <c r="B137" s="17" t="s">
        <v>165</v>
      </c>
      <c r="C137" s="16" t="s">
        <v>166</v>
      </c>
      <c r="D137" s="16">
        <v>436723</v>
      </c>
      <c r="E137" s="16" t="s">
        <v>40</v>
      </c>
      <c r="F137" s="24">
        <v>45957</v>
      </c>
      <c r="G137" s="24" t="s">
        <v>242</v>
      </c>
      <c r="H137" s="17" t="s">
        <v>494</v>
      </c>
      <c r="I137" s="17" t="s">
        <v>495</v>
      </c>
      <c r="J137" s="19">
        <v>4.1666666666666664E-2</v>
      </c>
      <c r="K137" s="19">
        <v>4.1666666666666664E-2</v>
      </c>
      <c r="L137" s="21">
        <f>CRF_3[[#This Row],[Time Spent on Configuration]]+CRF_3[[#This Row],[Time Spent on Review/Testing]]</f>
        <v>8.3333333333333329E-2</v>
      </c>
      <c r="N137" s="16" t="s">
        <v>470</v>
      </c>
      <c r="O137" s="16" t="s">
        <v>29</v>
      </c>
      <c r="P137" s="16" t="s">
        <v>114</v>
      </c>
      <c r="Q137" s="24">
        <v>45957</v>
      </c>
      <c r="R137" s="16">
        <v>5</v>
      </c>
    </row>
    <row r="138" spans="1:18" ht="409.6" x14ac:dyDescent="0.3">
      <c r="A138" s="16" t="s">
        <v>480</v>
      </c>
      <c r="B138" s="17" t="s">
        <v>93</v>
      </c>
      <c r="C138" s="16" t="s">
        <v>23</v>
      </c>
      <c r="D138" s="16">
        <v>432492</v>
      </c>
      <c r="E138" s="16" t="s">
        <v>40</v>
      </c>
      <c r="F138" s="24">
        <v>45958</v>
      </c>
      <c r="G138" s="24" t="s">
        <v>496</v>
      </c>
      <c r="H138" s="17" t="s">
        <v>497</v>
      </c>
      <c r="I138" s="17" t="s">
        <v>498</v>
      </c>
      <c r="J138" s="19">
        <v>1.3888888888888888E-2</v>
      </c>
      <c r="K138" s="19">
        <v>3.125E-2</v>
      </c>
      <c r="L138" s="21">
        <f>CRF_3[[#This Row],[Time Spent on Configuration]]+CRF_3[[#This Row],[Time Spent on Review/Testing]]</f>
        <v>4.5138888888888888E-2</v>
      </c>
      <c r="N138" s="16" t="s">
        <v>470</v>
      </c>
      <c r="O138" s="16" t="s">
        <v>37</v>
      </c>
      <c r="P138" s="16" t="s">
        <v>38</v>
      </c>
      <c r="Q138" s="24">
        <v>45958</v>
      </c>
      <c r="R138" s="16">
        <v>4</v>
      </c>
    </row>
    <row r="139" spans="1:18" ht="28.8" hidden="1" x14ac:dyDescent="0.3">
      <c r="A139" s="16" t="s">
        <v>480</v>
      </c>
      <c r="B139" s="17" t="s">
        <v>50</v>
      </c>
      <c r="C139" s="16" t="s">
        <v>23</v>
      </c>
      <c r="D139" s="16">
        <v>440157</v>
      </c>
      <c r="E139" s="16" t="s">
        <v>40</v>
      </c>
      <c r="F139" s="24">
        <v>45961</v>
      </c>
      <c r="G139" s="24" t="s">
        <v>25</v>
      </c>
      <c r="H139" s="17" t="s">
        <v>499</v>
      </c>
      <c r="I139" s="17" t="s">
        <v>500</v>
      </c>
      <c r="J139" s="19">
        <v>1.3888888888888888E-2</v>
      </c>
      <c r="K139" s="19">
        <v>3.4722222222222224E-2</v>
      </c>
      <c r="L139" s="21">
        <f>CRF_3[[#This Row],[Time Spent on Configuration]]+CRF_3[[#This Row],[Time Spent on Review/Testing]]</f>
        <v>4.8611111111111112E-2</v>
      </c>
      <c r="N139" s="16" t="s">
        <v>28</v>
      </c>
      <c r="O139" s="16" t="s">
        <v>37</v>
      </c>
      <c r="P139" s="16" t="s">
        <v>38</v>
      </c>
      <c r="Q139" s="24">
        <v>45961</v>
      </c>
      <c r="R139" s="16">
        <v>5</v>
      </c>
    </row>
    <row r="140" spans="1:18" ht="230.4" x14ac:dyDescent="0.3">
      <c r="A140" s="16" t="s">
        <v>501</v>
      </c>
      <c r="B140" s="17" t="s">
        <v>93</v>
      </c>
      <c r="C140" s="16" t="s">
        <v>23</v>
      </c>
      <c r="D140" s="16">
        <v>440774</v>
      </c>
      <c r="E140" s="16" t="s">
        <v>40</v>
      </c>
      <c r="F140" s="24">
        <v>45966</v>
      </c>
      <c r="G140" s="24" t="s">
        <v>242</v>
      </c>
      <c r="H140" s="17" t="s">
        <v>502</v>
      </c>
      <c r="I140" s="17" t="s">
        <v>503</v>
      </c>
      <c r="J140" s="19">
        <v>6.9444444444444441E-3</v>
      </c>
      <c r="K140" s="19">
        <v>4.1666666666666664E-2</v>
      </c>
      <c r="L140" s="21">
        <f>CRF_3[[#This Row],[Time Spent on Configuration]]+CRF_3[[#This Row],[Time Spent on Review/Testing]]</f>
        <v>4.8611111111111105E-2</v>
      </c>
      <c r="N140" s="16" t="s">
        <v>36</v>
      </c>
      <c r="O140" s="16" t="s">
        <v>37</v>
      </c>
      <c r="P140" s="16" t="s">
        <v>38</v>
      </c>
      <c r="Q140" s="24">
        <v>45966</v>
      </c>
      <c r="R140" s="16">
        <v>5</v>
      </c>
    </row>
    <row r="141" spans="1:18" ht="43.2" hidden="1" x14ac:dyDescent="0.3">
      <c r="A141" s="16" t="s">
        <v>501</v>
      </c>
      <c r="B141" s="17" t="s">
        <v>141</v>
      </c>
      <c r="C141" s="16" t="s">
        <v>120</v>
      </c>
      <c r="D141" s="16">
        <v>440604</v>
      </c>
      <c r="E141" s="16" t="s">
        <v>24</v>
      </c>
      <c r="F141" s="24">
        <v>45968</v>
      </c>
      <c r="G141" s="24" t="s">
        <v>242</v>
      </c>
      <c r="H141" s="17" t="s">
        <v>504</v>
      </c>
      <c r="I141" s="17" t="s">
        <v>505</v>
      </c>
      <c r="J141" s="19">
        <v>1.3888888888888888E-2</v>
      </c>
      <c r="K141" s="19">
        <v>4.1666666666666664E-2</v>
      </c>
      <c r="L141" s="21">
        <f>CRF_3[[#This Row],[Time Spent on Configuration]]+CRF_3[[#This Row],[Time Spent on Review/Testing]]</f>
        <v>5.5555555555555552E-2</v>
      </c>
      <c r="N141" s="16" t="s">
        <v>252</v>
      </c>
      <c r="O141" s="16" t="s">
        <v>37</v>
      </c>
      <c r="P141" s="16" t="s">
        <v>114</v>
      </c>
      <c r="Q141" s="24">
        <v>45969</v>
      </c>
      <c r="R141" s="16">
        <v>5</v>
      </c>
    </row>
    <row r="142" spans="1:18" ht="158.4" hidden="1" x14ac:dyDescent="0.3">
      <c r="A142" s="16" t="s">
        <v>501</v>
      </c>
      <c r="B142" s="17" t="s">
        <v>123</v>
      </c>
      <c r="C142" s="16" t="s">
        <v>23</v>
      </c>
      <c r="D142" s="16">
        <v>433679</v>
      </c>
      <c r="E142" s="16" t="s">
        <v>24</v>
      </c>
      <c r="F142" s="24">
        <v>45975</v>
      </c>
      <c r="G142" s="24" t="s">
        <v>242</v>
      </c>
      <c r="H142" s="17" t="s">
        <v>506</v>
      </c>
      <c r="I142" s="17" t="s">
        <v>507</v>
      </c>
      <c r="J142" s="19">
        <v>6.9444444444444441E-3</v>
      </c>
      <c r="K142" s="19">
        <v>4.583333333333333E-2</v>
      </c>
      <c r="L142" s="21">
        <f>CRF_3[[#This Row],[Time Spent on Configuration]]+CRF_3[[#This Row],[Time Spent on Review/Testing]]</f>
        <v>5.2777777777777771E-2</v>
      </c>
      <c r="N142" s="16" t="s">
        <v>43</v>
      </c>
      <c r="O142" s="16" t="s">
        <v>29</v>
      </c>
      <c r="P142" s="16" t="s">
        <v>114</v>
      </c>
      <c r="Q142" s="24">
        <v>45976</v>
      </c>
      <c r="R142" s="16">
        <v>4</v>
      </c>
    </row>
    <row r="143" spans="1:18" ht="172.8" x14ac:dyDescent="0.3">
      <c r="A143" s="16" t="s">
        <v>501</v>
      </c>
      <c r="B143" s="17" t="s">
        <v>93</v>
      </c>
      <c r="C143" s="16" t="s">
        <v>23</v>
      </c>
      <c r="D143" s="16">
        <v>443185</v>
      </c>
      <c r="E143" s="16" t="s">
        <v>40</v>
      </c>
      <c r="F143" s="24">
        <v>45979</v>
      </c>
      <c r="G143" s="24" t="s">
        <v>193</v>
      </c>
      <c r="H143" s="56" t="s">
        <v>508</v>
      </c>
      <c r="I143" s="55" t="s">
        <v>509</v>
      </c>
      <c r="J143" s="19">
        <v>6.9444444444444441E-3</v>
      </c>
      <c r="K143" s="19">
        <v>2.0833333333333332E-2</v>
      </c>
      <c r="L143" s="21">
        <f>CRF_3[[#This Row],[Time Spent on Configuration]]+CRF_3[[#This Row],[Time Spent on Review/Testing]]</f>
        <v>2.7777777777777776E-2</v>
      </c>
      <c r="N143" s="16" t="s">
        <v>43</v>
      </c>
      <c r="O143" s="16" t="s">
        <v>29</v>
      </c>
      <c r="P143" s="16" t="s">
        <v>38</v>
      </c>
      <c r="Q143" s="24">
        <v>45979</v>
      </c>
      <c r="R143" s="16">
        <v>4</v>
      </c>
    </row>
    <row r="144" spans="1:18" ht="115.2" hidden="1" x14ac:dyDescent="0.3">
      <c r="A144" s="16" t="s">
        <v>501</v>
      </c>
      <c r="B144" s="17" t="s">
        <v>337</v>
      </c>
      <c r="C144" s="16" t="str">
        <f>_xlfn.XLOOKUP(CRF_3[[#This Row],[Client Name]],B47:B143,C47:C143)</f>
        <v>IMA Financial Group</v>
      </c>
      <c r="D144" s="16">
        <v>443191</v>
      </c>
      <c r="E144" s="16" t="s">
        <v>24</v>
      </c>
      <c r="F144" s="24">
        <v>45981</v>
      </c>
      <c r="G144" s="24" t="s">
        <v>242</v>
      </c>
      <c r="H144" s="17" t="s">
        <v>510</v>
      </c>
      <c r="I144" s="17" t="s">
        <v>511</v>
      </c>
      <c r="J144" s="19">
        <v>2.0833333333333332E-2</v>
      </c>
      <c r="K144" s="19">
        <v>3.4722222222222224E-2</v>
      </c>
      <c r="L144" s="21">
        <f>CRF_3[[#This Row],[Time Spent on Configuration]]+CRF_3[[#This Row],[Time Spent on Review/Testing]]</f>
        <v>5.5555555555555552E-2</v>
      </c>
      <c r="N144" s="16" t="s">
        <v>28</v>
      </c>
      <c r="O144" s="16" t="s">
        <v>29</v>
      </c>
      <c r="P144" s="16" t="s">
        <v>38</v>
      </c>
      <c r="Q144" s="24">
        <v>45981</v>
      </c>
      <c r="R144" s="16">
        <v>5</v>
      </c>
    </row>
    <row r="145" spans="1:18" ht="28.8" hidden="1" x14ac:dyDescent="0.3">
      <c r="A145" s="16" t="s">
        <v>512</v>
      </c>
      <c r="B145" s="17" t="s">
        <v>165</v>
      </c>
      <c r="C145" s="16" t="s">
        <v>166</v>
      </c>
      <c r="D145" s="16">
        <v>436723</v>
      </c>
      <c r="E145" s="16" t="s">
        <v>40</v>
      </c>
      <c r="F145" s="24">
        <v>45997</v>
      </c>
      <c r="G145" s="24" t="s">
        <v>242</v>
      </c>
      <c r="H145" s="17" t="s">
        <v>513</v>
      </c>
      <c r="I145" s="17" t="s">
        <v>514</v>
      </c>
      <c r="J145" s="19">
        <v>6.9444444444444441E-3</v>
      </c>
      <c r="K145" s="19">
        <v>6.9444444444444448E-2</v>
      </c>
      <c r="L145" s="21">
        <f>CRF_3[[#This Row],[Time Spent on Configuration]]+CRF_3[[#This Row],[Time Spent on Review/Testing]]</f>
        <v>7.6388888888888895E-2</v>
      </c>
      <c r="N145" s="16" t="s">
        <v>28</v>
      </c>
      <c r="O145" s="16" t="s">
        <v>37</v>
      </c>
      <c r="P145" s="16" t="s">
        <v>114</v>
      </c>
      <c r="Q145" s="24">
        <v>45997</v>
      </c>
      <c r="R145" s="16">
        <v>5</v>
      </c>
    </row>
    <row r="146" spans="1:18" ht="100.8" hidden="1" x14ac:dyDescent="0.3">
      <c r="A146" s="16" t="s">
        <v>512</v>
      </c>
      <c r="B146" s="17" t="s">
        <v>32</v>
      </c>
      <c r="C146" s="16" t="s">
        <v>23</v>
      </c>
      <c r="D146" s="16">
        <v>447100</v>
      </c>
      <c r="E146" s="16" t="s">
        <v>24</v>
      </c>
      <c r="F146" s="24">
        <v>46003</v>
      </c>
      <c r="G146" s="24" t="s">
        <v>81</v>
      </c>
      <c r="H146" s="17" t="s">
        <v>515</v>
      </c>
      <c r="I146" s="17" t="s">
        <v>516</v>
      </c>
      <c r="J146" s="19">
        <v>6.9444444444444441E-3</v>
      </c>
      <c r="K146" s="19"/>
      <c r="L146" s="21">
        <f>CRF_3[[#This Row],[Time Spent on Configuration]]+CRF_3[[#This Row],[Time Spent on Review/Testing]]</f>
        <v>6.9444444444444441E-3</v>
      </c>
      <c r="N146" s="16" t="s">
        <v>43</v>
      </c>
      <c r="O146" s="16" t="s">
        <v>37</v>
      </c>
      <c r="P146" s="16" t="s">
        <v>38</v>
      </c>
      <c r="Q146" s="24">
        <v>46003</v>
      </c>
      <c r="R146" s="16">
        <v>5</v>
      </c>
    </row>
    <row r="147" spans="1:18" ht="43.2" hidden="1" x14ac:dyDescent="0.3">
      <c r="A147" s="16" t="s">
        <v>512</v>
      </c>
      <c r="B147" s="34" t="s">
        <v>439</v>
      </c>
      <c r="C147" s="16" t="s">
        <v>120</v>
      </c>
      <c r="D147" s="16">
        <v>446752</v>
      </c>
      <c r="E147" s="16" t="s">
        <v>40</v>
      </c>
      <c r="F147" s="24">
        <v>46003</v>
      </c>
      <c r="G147" s="24" t="s">
        <v>242</v>
      </c>
      <c r="H147" s="17" t="s">
        <v>517</v>
      </c>
      <c r="I147" s="17" t="s">
        <v>518</v>
      </c>
      <c r="J147" s="19">
        <v>2.0833333333333332E-2</v>
      </c>
      <c r="K147" s="19">
        <v>1.3888888888888888E-2</v>
      </c>
      <c r="L147" s="21">
        <f>CRF_3[[#This Row],[Time Spent on Configuration]]+CRF_3[[#This Row],[Time Spent on Review/Testing]]</f>
        <v>3.4722222222222224E-2</v>
      </c>
      <c r="N147" s="16" t="s">
        <v>36</v>
      </c>
      <c r="O147" s="16" t="s">
        <v>29</v>
      </c>
      <c r="P147" s="16" t="s">
        <v>114</v>
      </c>
      <c r="Q147" s="24">
        <v>46003</v>
      </c>
      <c r="R147" s="16">
        <v>5</v>
      </c>
    </row>
    <row r="148" spans="1:18" ht="28.8" hidden="1" x14ac:dyDescent="0.3">
      <c r="A148" s="16" t="s">
        <v>512</v>
      </c>
      <c r="B148" s="17" t="s">
        <v>519</v>
      </c>
      <c r="C148" s="16" t="s">
        <v>120</v>
      </c>
      <c r="D148" s="16">
        <v>447104</v>
      </c>
      <c r="E148" s="16" t="s">
        <v>40</v>
      </c>
      <c r="F148" s="24">
        <v>46007</v>
      </c>
      <c r="G148" s="24" t="s">
        <v>81</v>
      </c>
      <c r="H148" s="17" t="s">
        <v>520</v>
      </c>
      <c r="I148" s="17" t="s">
        <v>521</v>
      </c>
      <c r="J148" s="19">
        <v>2.0833333333333332E-2</v>
      </c>
      <c r="K148" s="19">
        <v>4.1666666666666664E-2</v>
      </c>
      <c r="L148" s="21">
        <f>CRF_3[[#This Row],[Time Spent on Configuration]]+CRF_3[[#This Row],[Time Spent on Review/Testing]]</f>
        <v>6.25E-2</v>
      </c>
      <c r="N148" s="16" t="s">
        <v>444</v>
      </c>
      <c r="O148" s="16" t="s">
        <v>37</v>
      </c>
      <c r="P148" s="16" t="s">
        <v>522</v>
      </c>
      <c r="Q148" s="24">
        <v>46007</v>
      </c>
      <c r="R148" s="16">
        <v>5</v>
      </c>
    </row>
    <row r="149" spans="1:18" ht="201.6" hidden="1" x14ac:dyDescent="0.3">
      <c r="A149" s="16" t="s">
        <v>512</v>
      </c>
      <c r="B149" s="17" t="s">
        <v>32</v>
      </c>
      <c r="C149" s="16" t="s">
        <v>23</v>
      </c>
      <c r="D149" s="16">
        <v>447420</v>
      </c>
      <c r="E149" s="16" t="s">
        <v>24</v>
      </c>
      <c r="F149" s="24">
        <v>46007</v>
      </c>
      <c r="G149" s="24" t="s">
        <v>242</v>
      </c>
      <c r="H149" s="17" t="s">
        <v>523</v>
      </c>
      <c r="I149" s="17" t="s">
        <v>524</v>
      </c>
      <c r="J149" s="19">
        <v>2.0833333333333332E-2</v>
      </c>
      <c r="K149" s="19">
        <v>3.4722222222222224E-2</v>
      </c>
      <c r="L149" s="21">
        <f>CRF_3[[#This Row],[Time Spent on Configuration]]+CRF_3[[#This Row],[Time Spent on Review/Testing]]</f>
        <v>5.5555555555555552E-2</v>
      </c>
      <c r="N149" s="16" t="s">
        <v>29</v>
      </c>
      <c r="O149" s="16" t="s">
        <v>37</v>
      </c>
      <c r="P149" s="16" t="s">
        <v>38</v>
      </c>
      <c r="Q149" s="24">
        <v>46007</v>
      </c>
      <c r="R149" s="16">
        <v>5</v>
      </c>
    </row>
    <row r="150" spans="1:18" ht="172.8" hidden="1" x14ac:dyDescent="0.3">
      <c r="A150" s="16" t="s">
        <v>512</v>
      </c>
      <c r="B150" s="17" t="s">
        <v>165</v>
      </c>
      <c r="C150" s="16" t="s">
        <v>166</v>
      </c>
      <c r="D150" s="16">
        <v>446546</v>
      </c>
      <c r="E150" s="16" t="s">
        <v>24</v>
      </c>
      <c r="F150" s="24">
        <v>46017</v>
      </c>
      <c r="G150" s="24" t="s">
        <v>242</v>
      </c>
      <c r="H150" s="17" t="s">
        <v>525</v>
      </c>
      <c r="I150" s="17" t="s">
        <v>526</v>
      </c>
      <c r="J150" s="19">
        <v>1.3888888888888888E-2</v>
      </c>
      <c r="K150" s="19">
        <v>3.4722222222222224E-2</v>
      </c>
      <c r="L150" s="21">
        <f>CRF_3[[#This Row],[Time Spent on Configuration]]+CRF_3[[#This Row],[Time Spent on Review/Testing]]</f>
        <v>4.8611111111111112E-2</v>
      </c>
      <c r="N150" s="16" t="s">
        <v>37</v>
      </c>
      <c r="O150" s="16" t="s">
        <v>29</v>
      </c>
      <c r="P150" s="16" t="s">
        <v>114</v>
      </c>
      <c r="Q150" s="24">
        <v>46017</v>
      </c>
      <c r="R150" s="16">
        <v>5</v>
      </c>
    </row>
    <row r="151" spans="1:18" ht="288" hidden="1" x14ac:dyDescent="0.3">
      <c r="A151" s="16" t="s">
        <v>512</v>
      </c>
      <c r="B151" s="17" t="s">
        <v>527</v>
      </c>
      <c r="C151" s="16" t="s">
        <v>120</v>
      </c>
      <c r="D151" s="16">
        <v>447679</v>
      </c>
      <c r="E151" s="16" t="s">
        <v>40</v>
      </c>
      <c r="F151" s="24">
        <v>46017</v>
      </c>
      <c r="G151" s="24" t="s">
        <v>242</v>
      </c>
      <c r="H151" s="17" t="s">
        <v>528</v>
      </c>
      <c r="I151" s="17" t="s">
        <v>529</v>
      </c>
      <c r="J151" s="19">
        <v>4.1666666666666664E-2</v>
      </c>
      <c r="K151" s="19">
        <v>6.25E-2</v>
      </c>
      <c r="L151" s="21">
        <f>CRF_3[[#This Row],[Time Spent on Configuration]]+CRF_3[[#This Row],[Time Spent on Review/Testing]]</f>
        <v>0.10416666666666666</v>
      </c>
      <c r="N151" s="16" t="s">
        <v>28</v>
      </c>
      <c r="O151" s="16" t="s">
        <v>29</v>
      </c>
      <c r="P151" s="16" t="s">
        <v>114</v>
      </c>
      <c r="Q151" s="24">
        <v>46017</v>
      </c>
      <c r="R151" s="16">
        <v>5</v>
      </c>
    </row>
    <row r="152" spans="1:18" ht="409.6" hidden="1" x14ac:dyDescent="0.3">
      <c r="A152" s="16" t="s">
        <v>512</v>
      </c>
      <c r="B152" s="17" t="s">
        <v>135</v>
      </c>
      <c r="C152" s="16" t="s">
        <v>120</v>
      </c>
      <c r="D152" s="16">
        <v>448761</v>
      </c>
      <c r="E152" s="16" t="s">
        <v>40</v>
      </c>
      <c r="F152" s="24">
        <v>46017</v>
      </c>
      <c r="G152" s="24" t="s">
        <v>25</v>
      </c>
      <c r="H152" s="17" t="s">
        <v>530</v>
      </c>
      <c r="I152" s="17" t="s">
        <v>531</v>
      </c>
      <c r="J152" s="19">
        <v>2.0833333333333332E-2</v>
      </c>
      <c r="K152" s="19">
        <v>5.5555555555555552E-2</v>
      </c>
      <c r="L152" s="21">
        <f>CRF_3[[#This Row],[Time Spent on Configuration]]+CRF_3[[#This Row],[Time Spent on Review/Testing]]</f>
        <v>7.6388888888888881E-2</v>
      </c>
      <c r="N152" s="16" t="s">
        <v>36</v>
      </c>
      <c r="O152" s="16" t="s">
        <v>29</v>
      </c>
      <c r="P152" s="16" t="s">
        <v>114</v>
      </c>
      <c r="Q152" s="24">
        <v>46017</v>
      </c>
      <c r="R152" s="16">
        <v>5</v>
      </c>
    </row>
    <row r="153" spans="1:18" hidden="1" x14ac:dyDescent="0.3">
      <c r="A153" s="16" t="s">
        <v>512</v>
      </c>
      <c r="B153" s="17" t="s">
        <v>126</v>
      </c>
      <c r="C153" s="16" t="s">
        <v>120</v>
      </c>
      <c r="D153" s="16">
        <v>449288</v>
      </c>
      <c r="E153" s="16" t="s">
        <v>40</v>
      </c>
      <c r="F153" s="24">
        <v>46022</v>
      </c>
      <c r="G153" s="24" t="s">
        <v>242</v>
      </c>
      <c r="H153" s="17" t="s">
        <v>532</v>
      </c>
      <c r="I153" s="17" t="s">
        <v>532</v>
      </c>
      <c r="J153" s="19">
        <v>2.0833333333333332E-2</v>
      </c>
      <c r="K153" s="19">
        <v>3.4722222222222224E-2</v>
      </c>
      <c r="L153" s="21">
        <f>CRF_3[[#This Row],[Time Spent on Configuration]]+CRF_3[[#This Row],[Time Spent on Review/Testing]]</f>
        <v>5.5555555555555552E-2</v>
      </c>
      <c r="N153" s="16" t="s">
        <v>36</v>
      </c>
      <c r="O153" s="16" t="s">
        <v>29</v>
      </c>
      <c r="P153" s="16" t="s">
        <v>114</v>
      </c>
      <c r="Q153" s="24">
        <v>46022</v>
      </c>
      <c r="R153" s="16">
        <v>5</v>
      </c>
    </row>
    <row r="154" spans="1:18" ht="57.6" hidden="1" x14ac:dyDescent="0.3">
      <c r="A154" s="16" t="s">
        <v>512</v>
      </c>
      <c r="B154" s="17" t="s">
        <v>123</v>
      </c>
      <c r="C154" s="16" t="s">
        <v>23</v>
      </c>
      <c r="D154" s="16">
        <v>448601</v>
      </c>
      <c r="E154" s="16" t="s">
        <v>24</v>
      </c>
      <c r="F154" s="24">
        <v>46022</v>
      </c>
      <c r="G154" s="24" t="s">
        <v>242</v>
      </c>
      <c r="H154" s="17" t="s">
        <v>533</v>
      </c>
      <c r="I154" s="17" t="s">
        <v>534</v>
      </c>
      <c r="J154" s="19">
        <v>2.0833333333333332E-2</v>
      </c>
      <c r="K154" s="19">
        <v>2.0833333333333332E-2</v>
      </c>
      <c r="L154" s="21">
        <f>CRF_3[[#This Row],[Time Spent on Configuration]]+CRF_3[[#This Row],[Time Spent on Review/Testing]]</f>
        <v>4.1666666666666664E-2</v>
      </c>
      <c r="N154" s="16" t="s">
        <v>36</v>
      </c>
      <c r="O154" s="16" t="s">
        <v>29</v>
      </c>
      <c r="P154" s="16" t="s">
        <v>114</v>
      </c>
      <c r="Q154" s="24">
        <v>46022</v>
      </c>
      <c r="R154" s="16">
        <v>5</v>
      </c>
    </row>
    <row r="155" spans="1:18" hidden="1" x14ac:dyDescent="0.3">
      <c r="F155" s="24"/>
      <c r="G155" s="24"/>
      <c r="H155" s="17"/>
      <c r="J155" s="19"/>
      <c r="K155" s="19"/>
      <c r="L155" s="21"/>
      <c r="Q155" s="24"/>
    </row>
  </sheetData>
  <dataConsolidate/>
  <hyperlinks>
    <hyperlink ref="D4" r:id="rId1" location="/messages/1221421" xr:uid="{5526FCDB-C4D1-4117-937A-DC415709819F}"/>
    <hyperlink ref="D6" r:id="rId2" xr:uid="{8C8F8B70-A0A4-48F1-94E4-AB05AF6EC1A4}"/>
  </hyperlinks>
  <pageMargins left="0.7" right="0.7" top="0.75" bottom="0.75" header="0.3" footer="0.3"/>
  <pageSetup paperSize="9"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9"/>
  <sheetViews>
    <sheetView workbookViewId="0">
      <pane xSplit="3" ySplit="2" topLeftCell="D141" activePane="bottomRight" state="frozen"/>
      <selection pane="topRight" activeCell="E1" sqref="E1"/>
      <selection pane="bottomLeft" activeCell="A3" sqref="A3"/>
      <selection pane="bottomRight" activeCell="G2" sqref="G2"/>
    </sheetView>
  </sheetViews>
  <sheetFormatPr defaultColWidth="9.109375" defaultRowHeight="14.4" x14ac:dyDescent="0.3"/>
  <cols>
    <col min="1" max="1" width="10.88671875" style="16" bestFit="1" customWidth="1"/>
    <col min="2" max="2" width="24.6640625" style="17" customWidth="1"/>
    <col min="3" max="3" width="13.5546875" style="16" customWidth="1"/>
    <col min="4" max="4" width="13.109375" style="16" customWidth="1"/>
    <col min="5" max="5" width="13.33203125" style="16" customWidth="1"/>
    <col min="6" max="6" width="14.88671875" style="16" customWidth="1"/>
    <col min="7" max="7" width="13.33203125" style="16" customWidth="1"/>
    <col min="8" max="8" width="43.88671875" customWidth="1"/>
    <col min="9" max="9" width="43.88671875" style="17" customWidth="1"/>
    <col min="10" max="10" width="13.88671875" style="17" bestFit="1" customWidth="1"/>
    <col min="11" max="11" width="15" style="16" bestFit="1" customWidth="1"/>
    <col min="12" max="12" width="10.33203125" style="16" bestFit="1" customWidth="1"/>
    <col min="13" max="13" width="6.44140625" style="16" bestFit="1" customWidth="1"/>
    <col min="14" max="14" width="13.33203125" style="16" customWidth="1"/>
    <col min="15" max="15" width="15" style="16" bestFit="1" customWidth="1"/>
    <col min="16" max="16" width="15.5546875" style="16" customWidth="1"/>
    <col min="17" max="17" width="11" style="16" customWidth="1"/>
    <col min="18" max="18" width="6.5546875" style="16" bestFit="1" customWidth="1"/>
    <col min="19" max="19" width="11" style="16" customWidth="1"/>
    <col min="20" max="16384" width="9.109375" style="16"/>
  </cols>
  <sheetData>
    <row r="1" spans="1:21" s="15" customFormat="1" x14ac:dyDescent="0.3">
      <c r="A1" s="12" t="s">
        <v>535</v>
      </c>
      <c r="B1" s="13"/>
      <c r="C1" s="13"/>
      <c r="D1" s="13"/>
      <c r="E1" s="13"/>
      <c r="F1" s="13"/>
      <c r="G1" s="13"/>
      <c r="H1" s="14"/>
      <c r="I1" s="14"/>
      <c r="J1" s="13"/>
      <c r="K1" s="13"/>
      <c r="L1" s="13"/>
      <c r="M1" s="13"/>
      <c r="N1" s="13"/>
      <c r="O1" s="13"/>
      <c r="P1" s="13"/>
      <c r="Q1" s="13"/>
      <c r="R1" s="30"/>
      <c r="S1" s="30"/>
      <c r="T1" s="30"/>
      <c r="U1" s="11"/>
    </row>
    <row r="2" spans="1:21" s="15" customFormat="1" ht="43.2" x14ac:dyDescent="0.3">
      <c r="A2" s="18" t="s">
        <v>1</v>
      </c>
      <c r="B2" s="18" t="s">
        <v>2</v>
      </c>
      <c r="C2" s="18" t="s">
        <v>3</v>
      </c>
      <c r="D2" s="18" t="s">
        <v>4</v>
      </c>
      <c r="E2" s="18" t="s">
        <v>5</v>
      </c>
      <c r="F2" s="18" t="s">
        <v>6</v>
      </c>
      <c r="G2" s="18" t="s">
        <v>7</v>
      </c>
      <c r="H2" s="18" t="s">
        <v>8</v>
      </c>
      <c r="I2" s="18" t="s">
        <v>9</v>
      </c>
      <c r="J2" s="18" t="s">
        <v>10</v>
      </c>
      <c r="K2" s="18" t="s">
        <v>11</v>
      </c>
      <c r="L2" s="18" t="s">
        <v>12</v>
      </c>
      <c r="M2" s="18" t="s">
        <v>13</v>
      </c>
      <c r="N2" s="18" t="s">
        <v>14</v>
      </c>
      <c r="O2" s="18" t="s">
        <v>15</v>
      </c>
      <c r="P2" s="18" t="s">
        <v>16</v>
      </c>
      <c r="Q2" s="18" t="s">
        <v>17</v>
      </c>
      <c r="R2" s="31" t="s">
        <v>18</v>
      </c>
      <c r="S2" s="32" t="s">
        <v>19</v>
      </c>
      <c r="T2" s="33" t="s">
        <v>20</v>
      </c>
      <c r="U2" s="11"/>
    </row>
    <row r="3" spans="1:21" ht="100.8" x14ac:dyDescent="0.3">
      <c r="A3" s="16" t="s">
        <v>31</v>
      </c>
      <c r="B3" s="17" t="s">
        <v>536</v>
      </c>
      <c r="C3" s="16" t="s">
        <v>23</v>
      </c>
      <c r="D3" s="16">
        <v>361516</v>
      </c>
      <c r="E3" s="16" t="s">
        <v>40</v>
      </c>
      <c r="F3" s="24">
        <v>45293</v>
      </c>
      <c r="G3" s="24" t="s">
        <v>25</v>
      </c>
      <c r="H3" s="17" t="s">
        <v>537</v>
      </c>
      <c r="I3" s="17" t="s">
        <v>538</v>
      </c>
      <c r="J3" s="19">
        <v>4.5138888888888888E-2</v>
      </c>
      <c r="K3" s="19">
        <v>5.5555555555555552E-2</v>
      </c>
      <c r="L3" s="21">
        <f>CRF[[#This Row],[Time Spent on Configuration]]+CRF[[#This Row],[Time Spent on Review/Testing]]</f>
        <v>0.10069444444444445</v>
      </c>
      <c r="N3" s="16" t="s">
        <v>28</v>
      </c>
      <c r="O3" s="16" t="s">
        <v>539</v>
      </c>
      <c r="P3" s="16" t="s">
        <v>540</v>
      </c>
      <c r="Q3" s="24">
        <v>45293</v>
      </c>
      <c r="R3" s="16">
        <v>5</v>
      </c>
    </row>
    <row r="4" spans="1:21" ht="57.6" x14ac:dyDescent="0.3">
      <c r="A4" s="16" t="s">
        <v>31</v>
      </c>
      <c r="B4" s="17" t="s">
        <v>80</v>
      </c>
      <c r="C4" s="16" t="s">
        <v>23</v>
      </c>
      <c r="D4" s="16">
        <v>360708</v>
      </c>
      <c r="E4" s="16" t="s">
        <v>40</v>
      </c>
      <c r="F4" s="24">
        <v>45294</v>
      </c>
      <c r="G4" s="24" t="s">
        <v>302</v>
      </c>
      <c r="H4" s="17" t="s">
        <v>541</v>
      </c>
      <c r="I4" s="17" t="s">
        <v>542</v>
      </c>
      <c r="J4" s="19">
        <v>2.0833333333333332E-2</v>
      </c>
      <c r="K4" s="19">
        <v>3.4722222222222224E-2</v>
      </c>
      <c r="L4" s="21">
        <f>CRF[[#This Row],[Time Spent on Configuration]]+CRF[[#This Row],[Time Spent on Review/Testing]]</f>
        <v>5.5555555555555552E-2</v>
      </c>
      <c r="N4" s="16" t="s">
        <v>252</v>
      </c>
      <c r="O4" s="16" t="s">
        <v>29</v>
      </c>
      <c r="P4" s="16" t="s">
        <v>543</v>
      </c>
      <c r="Q4" s="24">
        <v>45294</v>
      </c>
      <c r="R4" s="16">
        <v>5</v>
      </c>
    </row>
    <row r="5" spans="1:21" ht="57.6" x14ac:dyDescent="0.3">
      <c r="A5" s="16" t="s">
        <v>31</v>
      </c>
      <c r="B5" s="17" t="s">
        <v>544</v>
      </c>
      <c r="C5" s="16" t="s">
        <v>545</v>
      </c>
      <c r="D5" s="16">
        <v>361513</v>
      </c>
      <c r="E5" s="16" t="s">
        <v>24</v>
      </c>
      <c r="F5" s="24">
        <v>45294</v>
      </c>
      <c r="G5" s="24" t="s">
        <v>25</v>
      </c>
      <c r="H5" s="17" t="s">
        <v>546</v>
      </c>
      <c r="I5" s="17" t="s">
        <v>547</v>
      </c>
      <c r="J5" s="19">
        <v>2.0833333333333332E-2</v>
      </c>
      <c r="K5" s="19">
        <v>4.8611111111111112E-2</v>
      </c>
      <c r="L5" s="21">
        <f>CRF[[#This Row],[Time Spent on Configuration]]+CRF[[#This Row],[Time Spent on Review/Testing]]</f>
        <v>6.9444444444444448E-2</v>
      </c>
      <c r="N5" s="16" t="s">
        <v>539</v>
      </c>
      <c r="O5" s="16" t="s">
        <v>29</v>
      </c>
      <c r="P5" s="16" t="s">
        <v>114</v>
      </c>
      <c r="Q5" s="24">
        <v>45294</v>
      </c>
      <c r="R5" s="16">
        <v>5</v>
      </c>
    </row>
    <row r="6" spans="1:21" ht="72" x14ac:dyDescent="0.3">
      <c r="A6" s="16" t="s">
        <v>31</v>
      </c>
      <c r="B6" s="17" t="s">
        <v>109</v>
      </c>
      <c r="C6" s="16" t="s">
        <v>338</v>
      </c>
      <c r="D6" s="16">
        <v>361759</v>
      </c>
      <c r="E6" s="16" t="s">
        <v>40</v>
      </c>
      <c r="F6" s="24">
        <v>45294</v>
      </c>
      <c r="G6" s="24" t="s">
        <v>81</v>
      </c>
      <c r="H6" s="17" t="s">
        <v>548</v>
      </c>
      <c r="I6" s="17" t="s">
        <v>549</v>
      </c>
      <c r="J6" s="19">
        <v>2.0833333333333332E-2</v>
      </c>
      <c r="K6" s="19">
        <v>2.7777777777777776E-2</v>
      </c>
      <c r="L6" s="21">
        <f>CRF[[#This Row],[Time Spent on Configuration]]+CRF[[#This Row],[Time Spent on Review/Testing]]</f>
        <v>4.8611111111111105E-2</v>
      </c>
      <c r="N6" s="16" t="s">
        <v>28</v>
      </c>
      <c r="O6" s="16" t="s">
        <v>539</v>
      </c>
      <c r="P6" s="16" t="s">
        <v>543</v>
      </c>
      <c r="Q6" s="24">
        <v>45294</v>
      </c>
      <c r="R6" s="16">
        <v>5</v>
      </c>
    </row>
    <row r="7" spans="1:21" ht="129.6" x14ac:dyDescent="0.3">
      <c r="A7" s="16" t="s">
        <v>31</v>
      </c>
      <c r="B7" s="17" t="s">
        <v>248</v>
      </c>
      <c r="C7" s="16" t="s">
        <v>23</v>
      </c>
      <c r="D7" s="16">
        <v>361371</v>
      </c>
      <c r="E7" s="16" t="s">
        <v>40</v>
      </c>
      <c r="F7" s="24">
        <v>45294</v>
      </c>
      <c r="G7" s="24" t="s">
        <v>81</v>
      </c>
      <c r="H7" s="17" t="s">
        <v>550</v>
      </c>
      <c r="I7" s="17" t="s">
        <v>551</v>
      </c>
      <c r="J7" s="19">
        <v>3.125E-2</v>
      </c>
      <c r="K7" s="19">
        <v>3.8194444444444441E-2</v>
      </c>
      <c r="L7" s="21">
        <f>CRF[[#This Row],[Time Spent on Configuration]]+CRF[[#This Row],[Time Spent on Review/Testing]]</f>
        <v>6.9444444444444448E-2</v>
      </c>
      <c r="N7" s="16" t="s">
        <v>28</v>
      </c>
      <c r="O7" s="16" t="s">
        <v>539</v>
      </c>
      <c r="P7" s="16" t="s">
        <v>543</v>
      </c>
      <c r="Q7" s="24">
        <v>45294</v>
      </c>
      <c r="R7" s="16">
        <v>5</v>
      </c>
    </row>
    <row r="8" spans="1:21" ht="43.2" x14ac:dyDescent="0.3">
      <c r="A8" s="16" t="s">
        <v>31</v>
      </c>
      <c r="B8" s="17" t="s">
        <v>237</v>
      </c>
      <c r="C8" s="16" t="s">
        <v>23</v>
      </c>
      <c r="D8" s="16">
        <v>362091</v>
      </c>
      <c r="E8" s="16" t="s">
        <v>24</v>
      </c>
      <c r="F8" s="24">
        <v>45295</v>
      </c>
      <c r="G8" s="24" t="s">
        <v>25</v>
      </c>
      <c r="H8" s="17" t="s">
        <v>552</v>
      </c>
      <c r="I8" s="17" t="s">
        <v>553</v>
      </c>
      <c r="J8" s="19">
        <v>2.0833333333333332E-2</v>
      </c>
      <c r="K8" s="19">
        <v>6.25E-2</v>
      </c>
      <c r="L8" s="21">
        <f>CRF[[#This Row],[Time Spent on Configuration]]+CRF[[#This Row],[Time Spent on Review/Testing]]</f>
        <v>8.3333333333333329E-2</v>
      </c>
      <c r="N8" s="16" t="s">
        <v>245</v>
      </c>
      <c r="O8" s="16" t="s">
        <v>539</v>
      </c>
      <c r="P8" s="16" t="s">
        <v>540</v>
      </c>
      <c r="Q8" s="24">
        <v>45295</v>
      </c>
      <c r="R8" s="16">
        <v>5</v>
      </c>
    </row>
    <row r="9" spans="1:21" ht="57.6" x14ac:dyDescent="0.3">
      <c r="A9" s="16" t="s">
        <v>31</v>
      </c>
      <c r="B9" s="17" t="s">
        <v>109</v>
      </c>
      <c r="C9" s="16" t="s">
        <v>338</v>
      </c>
      <c r="D9" s="16" t="s">
        <v>554</v>
      </c>
      <c r="E9" s="16" t="s">
        <v>40</v>
      </c>
      <c r="F9" s="24">
        <v>45295</v>
      </c>
      <c r="G9" s="24" t="s">
        <v>277</v>
      </c>
      <c r="H9" s="17" t="s">
        <v>555</v>
      </c>
      <c r="I9" s="17" t="s">
        <v>556</v>
      </c>
      <c r="J9" s="19">
        <v>2.0833333333333332E-2</v>
      </c>
      <c r="K9" s="19"/>
      <c r="L9" s="21">
        <f>CRF[[#This Row],[Time Spent on Configuration]]+CRF[[#This Row],[Time Spent on Review/Testing]]</f>
        <v>2.0833333333333332E-2</v>
      </c>
      <c r="N9" s="16" t="s">
        <v>444</v>
      </c>
      <c r="O9" s="16" t="s">
        <v>554</v>
      </c>
      <c r="P9" s="16" t="s">
        <v>291</v>
      </c>
      <c r="Q9" s="24">
        <v>45295</v>
      </c>
      <c r="R9" s="16">
        <v>5</v>
      </c>
    </row>
    <row r="10" spans="1:21" ht="72" x14ac:dyDescent="0.3">
      <c r="A10" s="16" t="s">
        <v>31</v>
      </c>
      <c r="B10" s="17" t="s">
        <v>22</v>
      </c>
      <c r="C10" s="16" t="s">
        <v>23</v>
      </c>
      <c r="D10" s="16">
        <v>362349</v>
      </c>
      <c r="E10" s="16" t="s">
        <v>24</v>
      </c>
      <c r="F10" s="24">
        <v>45296</v>
      </c>
      <c r="G10" s="24" t="s">
        <v>557</v>
      </c>
      <c r="H10" s="17" t="s">
        <v>558</v>
      </c>
      <c r="I10" s="17" t="s">
        <v>559</v>
      </c>
      <c r="J10" s="19">
        <v>1.3888888888888888E-2</v>
      </c>
      <c r="K10" s="19">
        <v>2.0833333333333332E-2</v>
      </c>
      <c r="L10" s="21">
        <f>CRF[[#This Row],[Time Spent on Configuration]]+CRF[[#This Row],[Time Spent on Review/Testing]]</f>
        <v>3.4722222222222224E-2</v>
      </c>
      <c r="N10" s="16" t="s">
        <v>539</v>
      </c>
      <c r="O10" s="16" t="s">
        <v>29</v>
      </c>
      <c r="P10" s="16" t="s">
        <v>543</v>
      </c>
      <c r="Q10" s="24">
        <v>45296</v>
      </c>
      <c r="R10" s="16">
        <v>5</v>
      </c>
    </row>
    <row r="11" spans="1:21" ht="158.4" x14ac:dyDescent="0.3">
      <c r="A11" s="16" t="s">
        <v>31</v>
      </c>
      <c r="B11" s="17" t="s">
        <v>560</v>
      </c>
      <c r="C11" s="16" t="s">
        <v>23</v>
      </c>
      <c r="D11" s="16">
        <v>362208</v>
      </c>
      <c r="E11" s="16" t="s">
        <v>24</v>
      </c>
      <c r="F11" s="24">
        <v>45296</v>
      </c>
      <c r="G11" s="24" t="s">
        <v>25</v>
      </c>
      <c r="H11" s="17" t="s">
        <v>561</v>
      </c>
      <c r="I11" s="17" t="s">
        <v>561</v>
      </c>
      <c r="J11" s="21">
        <v>6.25E-2</v>
      </c>
      <c r="K11" s="19">
        <v>5.2083333333333336E-2</v>
      </c>
      <c r="L11" s="21">
        <f>CRF[[#This Row],[Time Spent on Configuration]]+CRF[[#This Row],[Time Spent on Review/Testing]]</f>
        <v>0.11458333333333334</v>
      </c>
      <c r="N11" s="16" t="s">
        <v>28</v>
      </c>
      <c r="O11" s="16" t="s">
        <v>539</v>
      </c>
      <c r="P11" s="16" t="s">
        <v>543</v>
      </c>
      <c r="Q11" s="24">
        <v>45296</v>
      </c>
      <c r="R11" s="16">
        <v>5</v>
      </c>
    </row>
    <row r="12" spans="1:21" ht="28.8" x14ac:dyDescent="0.3">
      <c r="A12" s="16" t="s">
        <v>31</v>
      </c>
      <c r="B12" s="17" t="s">
        <v>377</v>
      </c>
      <c r="C12" s="16" t="s">
        <v>23</v>
      </c>
      <c r="D12" s="16">
        <v>362379</v>
      </c>
      <c r="E12" s="16" t="s">
        <v>24</v>
      </c>
      <c r="F12" s="24">
        <v>45296</v>
      </c>
      <c r="G12" s="24" t="s">
        <v>25</v>
      </c>
      <c r="H12" s="17" t="s">
        <v>562</v>
      </c>
      <c r="I12" s="17" t="s">
        <v>562</v>
      </c>
      <c r="J12" s="19">
        <v>2.4305555555555556E-2</v>
      </c>
      <c r="K12" s="19">
        <v>3.8194444444444441E-2</v>
      </c>
      <c r="L12" s="21">
        <f>CRF[[#This Row],[Time Spent on Configuration]]+CRF[[#This Row],[Time Spent on Review/Testing]]</f>
        <v>6.25E-2</v>
      </c>
      <c r="N12" s="16" t="s">
        <v>28</v>
      </c>
      <c r="O12" s="16" t="s">
        <v>539</v>
      </c>
      <c r="P12" s="16" t="s">
        <v>543</v>
      </c>
      <c r="Q12" s="24">
        <v>45296</v>
      </c>
      <c r="R12" s="16">
        <v>5</v>
      </c>
    </row>
    <row r="13" spans="1:21" ht="105.6" x14ac:dyDescent="0.3">
      <c r="A13" s="16" t="s">
        <v>31</v>
      </c>
      <c r="B13" s="17" t="s">
        <v>144</v>
      </c>
      <c r="C13" s="16" t="s">
        <v>23</v>
      </c>
      <c r="D13" s="16">
        <v>362162</v>
      </c>
      <c r="E13" s="16" t="s">
        <v>24</v>
      </c>
      <c r="F13" s="24">
        <v>44932</v>
      </c>
      <c r="G13" s="24" t="s">
        <v>25</v>
      </c>
      <c r="H13" s="17" t="s">
        <v>563</v>
      </c>
      <c r="I13" s="25" t="s">
        <v>564</v>
      </c>
      <c r="J13" s="19">
        <v>6.25E-2</v>
      </c>
      <c r="K13" s="19">
        <v>6.5972222222222224E-2</v>
      </c>
      <c r="L13" s="21">
        <f>CRF[[#This Row],[Time Spent on Configuration]]+CRF[[#This Row],[Time Spent on Review/Testing]]</f>
        <v>0.12847222222222221</v>
      </c>
      <c r="N13" s="16" t="s">
        <v>28</v>
      </c>
      <c r="O13" s="16" t="s">
        <v>539</v>
      </c>
      <c r="P13" s="16" t="s">
        <v>114</v>
      </c>
      <c r="Q13" s="24">
        <v>44932</v>
      </c>
      <c r="R13" s="16">
        <v>5</v>
      </c>
    </row>
    <row r="14" spans="1:21" ht="100.8" x14ac:dyDescent="0.3">
      <c r="A14" s="16" t="s">
        <v>31</v>
      </c>
      <c r="B14" s="17" t="s">
        <v>103</v>
      </c>
      <c r="C14" s="16" t="s">
        <v>104</v>
      </c>
      <c r="D14" s="16">
        <v>363169</v>
      </c>
      <c r="E14" s="16" t="s">
        <v>24</v>
      </c>
      <c r="F14" s="24">
        <v>45303</v>
      </c>
      <c r="G14" s="24" t="s">
        <v>557</v>
      </c>
      <c r="H14" s="17" t="s">
        <v>565</v>
      </c>
      <c r="I14" s="17" t="s">
        <v>566</v>
      </c>
      <c r="J14" s="19">
        <v>1.3888888888888888E-2</v>
      </c>
      <c r="K14" s="19">
        <v>3.4722222222222224E-2</v>
      </c>
      <c r="L14" s="21">
        <f>CRF[[#This Row],[Time Spent on Configuration]]+CRF[[#This Row],[Time Spent on Review/Testing]]</f>
        <v>4.8611111111111112E-2</v>
      </c>
      <c r="N14" s="16" t="s">
        <v>29</v>
      </c>
      <c r="O14" s="16" t="s">
        <v>539</v>
      </c>
      <c r="P14" s="16" t="s">
        <v>540</v>
      </c>
      <c r="Q14" s="24">
        <v>45303</v>
      </c>
      <c r="R14" s="16">
        <v>5</v>
      </c>
    </row>
    <row r="15" spans="1:21" ht="86.4" x14ac:dyDescent="0.3">
      <c r="A15" s="16" t="s">
        <v>31</v>
      </c>
      <c r="B15" s="17" t="s">
        <v>80</v>
      </c>
      <c r="C15" s="16" t="s">
        <v>23</v>
      </c>
      <c r="D15" s="16">
        <v>354397</v>
      </c>
      <c r="E15" s="16" t="s">
        <v>24</v>
      </c>
      <c r="F15" s="24">
        <v>45303</v>
      </c>
      <c r="G15" s="24" t="s">
        <v>81</v>
      </c>
      <c r="H15" s="17" t="s">
        <v>567</v>
      </c>
      <c r="I15" s="17" t="s">
        <v>568</v>
      </c>
      <c r="J15" s="19">
        <v>2.4305555555555556E-2</v>
      </c>
      <c r="K15" s="19">
        <v>2.7777777777777776E-2</v>
      </c>
      <c r="L15" s="21">
        <f>CRF[[#This Row],[Time Spent on Configuration]]+CRF[[#This Row],[Time Spent on Review/Testing]]</f>
        <v>5.2083333333333329E-2</v>
      </c>
      <c r="N15" s="16" t="s">
        <v>28</v>
      </c>
      <c r="O15" s="16" t="s">
        <v>539</v>
      </c>
      <c r="P15" s="16" t="s">
        <v>543</v>
      </c>
      <c r="Q15" s="24">
        <v>45303</v>
      </c>
      <c r="R15" s="16">
        <v>5</v>
      </c>
    </row>
    <row r="16" spans="1:21" ht="57.6" x14ac:dyDescent="0.3">
      <c r="A16" s="16" t="s">
        <v>31</v>
      </c>
      <c r="B16" s="17" t="s">
        <v>569</v>
      </c>
      <c r="C16" s="16" t="s">
        <v>23</v>
      </c>
      <c r="D16" s="16">
        <v>363096</v>
      </c>
      <c r="E16" s="16" t="s">
        <v>40</v>
      </c>
      <c r="F16" s="24">
        <v>45307</v>
      </c>
      <c r="G16" s="24" t="s">
        <v>25</v>
      </c>
      <c r="H16" s="17" t="s">
        <v>570</v>
      </c>
      <c r="I16" s="17" t="s">
        <v>571</v>
      </c>
      <c r="J16" s="19">
        <v>2.0833333333333332E-2</v>
      </c>
      <c r="K16" s="19">
        <v>3.4722222222222224E-2</v>
      </c>
      <c r="L16" s="21">
        <f>CRF[[#This Row],[Time Spent on Configuration]]+CRF[[#This Row],[Time Spent on Review/Testing]]</f>
        <v>5.5555555555555552E-2</v>
      </c>
      <c r="N16" s="16" t="s">
        <v>245</v>
      </c>
      <c r="O16" s="16" t="s">
        <v>29</v>
      </c>
      <c r="P16" s="16" t="s">
        <v>540</v>
      </c>
      <c r="Q16" s="24">
        <v>45307</v>
      </c>
      <c r="R16" s="16">
        <v>5</v>
      </c>
    </row>
    <row r="17" spans="1:18" ht="72" x14ac:dyDescent="0.3">
      <c r="A17" s="16" t="s">
        <v>31</v>
      </c>
      <c r="B17" s="17" t="s">
        <v>572</v>
      </c>
      <c r="C17" s="16" t="s">
        <v>573</v>
      </c>
      <c r="D17" s="16">
        <v>363417</v>
      </c>
      <c r="E17" s="16" t="s">
        <v>40</v>
      </c>
      <c r="F17" s="24">
        <v>45309</v>
      </c>
      <c r="G17" s="24" t="s">
        <v>25</v>
      </c>
      <c r="H17" s="17" t="s">
        <v>574</v>
      </c>
      <c r="I17" s="17" t="s">
        <v>575</v>
      </c>
      <c r="J17" s="19">
        <v>2.0833333333333332E-2</v>
      </c>
      <c r="K17" s="19">
        <v>4.8611111111111112E-2</v>
      </c>
      <c r="L17" s="21">
        <f>CRF[[#This Row],[Time Spent on Configuration]]+CRF[[#This Row],[Time Spent on Review/Testing]]</f>
        <v>6.9444444444444448E-2</v>
      </c>
      <c r="N17" s="16" t="s">
        <v>245</v>
      </c>
      <c r="O17" s="16" t="s">
        <v>29</v>
      </c>
      <c r="P17" s="16" t="s">
        <v>540</v>
      </c>
      <c r="Q17" s="24">
        <v>45309</v>
      </c>
      <c r="R17" s="16">
        <v>5</v>
      </c>
    </row>
    <row r="18" spans="1:18" ht="43.2" x14ac:dyDescent="0.3">
      <c r="A18" s="16" t="s">
        <v>31</v>
      </c>
      <c r="B18" s="17" t="s">
        <v>237</v>
      </c>
      <c r="C18" s="16" t="s">
        <v>23</v>
      </c>
      <c r="D18" s="16">
        <v>363627</v>
      </c>
      <c r="E18" s="16" t="s">
        <v>24</v>
      </c>
      <c r="F18" s="24">
        <v>45309</v>
      </c>
      <c r="G18" s="24" t="s">
        <v>25</v>
      </c>
      <c r="H18" s="17" t="s">
        <v>576</v>
      </c>
      <c r="I18" s="17" t="s">
        <v>577</v>
      </c>
      <c r="J18" s="19">
        <v>2.0833333333333332E-2</v>
      </c>
      <c r="K18" s="19">
        <v>4.1666666666666664E-2</v>
      </c>
      <c r="L18" s="21">
        <f>CRF[[#This Row],[Time Spent on Configuration]]+CRF[[#This Row],[Time Spent on Review/Testing]]</f>
        <v>6.25E-2</v>
      </c>
      <c r="N18" s="16" t="s">
        <v>36</v>
      </c>
      <c r="O18" s="16" t="s">
        <v>29</v>
      </c>
      <c r="P18" s="16" t="s">
        <v>540</v>
      </c>
      <c r="Q18" s="24">
        <v>45309</v>
      </c>
      <c r="R18" s="16">
        <v>5</v>
      </c>
    </row>
    <row r="19" spans="1:18" ht="57.6" x14ac:dyDescent="0.3">
      <c r="A19" s="16" t="s">
        <v>31</v>
      </c>
      <c r="B19" s="17" t="s">
        <v>578</v>
      </c>
      <c r="C19" s="16" t="s">
        <v>171</v>
      </c>
      <c r="D19" s="16">
        <v>362516</v>
      </c>
      <c r="E19" s="16" t="s">
        <v>24</v>
      </c>
      <c r="F19" s="24">
        <v>45309</v>
      </c>
      <c r="G19" s="24" t="s">
        <v>557</v>
      </c>
      <c r="H19" s="17" t="s">
        <v>579</v>
      </c>
      <c r="I19" s="17" t="s">
        <v>580</v>
      </c>
      <c r="J19" s="19">
        <v>2.0833333333333332E-2</v>
      </c>
      <c r="K19" s="19">
        <v>2.7777777777777776E-2</v>
      </c>
      <c r="L19" s="21">
        <f>CRF[[#This Row],[Time Spent on Configuration]]+CRF[[#This Row],[Time Spent on Review/Testing]]</f>
        <v>4.8611111111111105E-2</v>
      </c>
      <c r="N19" s="16" t="s">
        <v>36</v>
      </c>
      <c r="O19" s="16" t="s">
        <v>29</v>
      </c>
      <c r="P19" s="16" t="s">
        <v>114</v>
      </c>
      <c r="Q19" s="24">
        <v>45309</v>
      </c>
      <c r="R19" s="16">
        <v>5</v>
      </c>
    </row>
    <row r="20" spans="1:18" ht="100.8" x14ac:dyDescent="0.3">
      <c r="A20" s="16" t="s">
        <v>31</v>
      </c>
      <c r="B20" s="17" t="s">
        <v>165</v>
      </c>
      <c r="C20" s="16" t="s">
        <v>581</v>
      </c>
      <c r="D20" s="16">
        <v>361348</v>
      </c>
      <c r="E20" s="16" t="s">
        <v>40</v>
      </c>
      <c r="F20" s="24">
        <v>45314</v>
      </c>
      <c r="G20" s="24" t="s">
        <v>277</v>
      </c>
      <c r="H20" s="17" t="s">
        <v>582</v>
      </c>
      <c r="I20" s="17" t="s">
        <v>583</v>
      </c>
      <c r="J20" s="19">
        <v>2.0833333333333332E-2</v>
      </c>
      <c r="K20" s="19"/>
      <c r="L20" s="21">
        <f>CRF[[#This Row],[Time Spent on Configuration]]+CRF[[#This Row],[Time Spent on Review/Testing]]</f>
        <v>2.0833333333333332E-2</v>
      </c>
      <c r="N20" s="16" t="s">
        <v>28</v>
      </c>
      <c r="P20" s="16" t="s">
        <v>543</v>
      </c>
      <c r="Q20" s="24">
        <v>45314</v>
      </c>
      <c r="R20" s="16">
        <v>5</v>
      </c>
    </row>
    <row r="21" spans="1:18" ht="100.8" x14ac:dyDescent="0.3">
      <c r="A21" s="16" t="s">
        <v>31</v>
      </c>
      <c r="B21" s="17" t="s">
        <v>584</v>
      </c>
      <c r="C21" s="16" t="s">
        <v>585</v>
      </c>
      <c r="D21" s="16">
        <v>364294</v>
      </c>
      <c r="E21" s="16" t="s">
        <v>40</v>
      </c>
      <c r="F21" s="24">
        <v>45314</v>
      </c>
      <c r="G21" s="24" t="s">
        <v>242</v>
      </c>
      <c r="H21" s="17" t="s">
        <v>586</v>
      </c>
      <c r="I21" s="17" t="s">
        <v>587</v>
      </c>
      <c r="J21" s="19">
        <v>4.5138888888888888E-2</v>
      </c>
      <c r="K21" s="19">
        <v>3.4722222222222224E-2</v>
      </c>
      <c r="L21" s="21">
        <f>CRF[[#This Row],[Time Spent on Configuration]]+CRF[[#This Row],[Time Spent on Review/Testing]]</f>
        <v>7.9861111111111105E-2</v>
      </c>
      <c r="N21" s="16" t="s">
        <v>28</v>
      </c>
      <c r="O21" s="16" t="s">
        <v>539</v>
      </c>
      <c r="P21" s="16" t="s">
        <v>540</v>
      </c>
      <c r="Q21" s="24">
        <v>45314</v>
      </c>
      <c r="R21" s="16">
        <v>5</v>
      </c>
    </row>
    <row r="22" spans="1:18" ht="273.60000000000002" x14ac:dyDescent="0.3">
      <c r="A22" s="16" t="s">
        <v>31</v>
      </c>
      <c r="B22" s="17" t="s">
        <v>39</v>
      </c>
      <c r="C22" s="16" t="s">
        <v>23</v>
      </c>
      <c r="D22" s="16">
        <v>363021</v>
      </c>
      <c r="E22" s="16" t="s">
        <v>40</v>
      </c>
      <c r="F22" s="24">
        <v>45310</v>
      </c>
      <c r="G22" s="24" t="s">
        <v>242</v>
      </c>
      <c r="H22" s="17" t="s">
        <v>588</v>
      </c>
      <c r="I22" s="17" t="s">
        <v>588</v>
      </c>
      <c r="J22" s="19">
        <v>4.5138888888888888E-2</v>
      </c>
      <c r="K22" s="19"/>
      <c r="L22" s="21">
        <f>CRF[[#This Row],[Time Spent on Configuration]]+CRF[[#This Row],[Time Spent on Review/Testing]]</f>
        <v>4.5138888888888888E-2</v>
      </c>
      <c r="N22" s="16" t="s">
        <v>28</v>
      </c>
      <c r="P22" s="16" t="s">
        <v>543</v>
      </c>
      <c r="Q22" s="24">
        <v>45315</v>
      </c>
      <c r="R22" s="16">
        <v>5</v>
      </c>
    </row>
    <row r="23" spans="1:18" ht="129.6" x14ac:dyDescent="0.3">
      <c r="A23" s="16" t="s">
        <v>31</v>
      </c>
      <c r="B23" s="17" t="s">
        <v>248</v>
      </c>
      <c r="C23" s="16" t="s">
        <v>23</v>
      </c>
      <c r="D23" s="16">
        <v>364837</v>
      </c>
      <c r="E23" s="16" t="s">
        <v>24</v>
      </c>
      <c r="F23" s="24">
        <v>45320</v>
      </c>
      <c r="G23" s="24" t="s">
        <v>242</v>
      </c>
      <c r="H23" s="17" t="s">
        <v>589</v>
      </c>
      <c r="I23" s="17" t="s">
        <v>589</v>
      </c>
      <c r="J23" s="19">
        <v>2.0833333333333332E-2</v>
      </c>
      <c r="K23" s="19">
        <v>2.7777777777777776E-2</v>
      </c>
      <c r="L23" s="21">
        <f>CRF[[#This Row],[Time Spent on Configuration]]+CRF[[#This Row],[Time Spent on Review/Testing]]</f>
        <v>4.8611111111111105E-2</v>
      </c>
      <c r="N23" s="16" t="s">
        <v>28</v>
      </c>
      <c r="O23" s="16" t="s">
        <v>539</v>
      </c>
      <c r="P23" s="16" t="s">
        <v>540</v>
      </c>
      <c r="Q23" s="24">
        <v>45320</v>
      </c>
      <c r="R23" s="16">
        <v>5</v>
      </c>
    </row>
    <row r="24" spans="1:18" ht="100.8" x14ac:dyDescent="0.3">
      <c r="A24" s="16" t="s">
        <v>31</v>
      </c>
      <c r="B24" s="17" t="s">
        <v>403</v>
      </c>
      <c r="C24" s="16" t="s">
        <v>404</v>
      </c>
      <c r="D24" s="16">
        <v>364449</v>
      </c>
      <c r="E24" s="16" t="s">
        <v>40</v>
      </c>
      <c r="F24" s="24">
        <v>45320</v>
      </c>
      <c r="G24" s="24" t="s">
        <v>242</v>
      </c>
      <c r="H24" s="17" t="s">
        <v>590</v>
      </c>
      <c r="I24" s="17" t="s">
        <v>591</v>
      </c>
      <c r="J24" s="19">
        <v>2.0833333333333332E-2</v>
      </c>
      <c r="K24" s="19">
        <v>3.125E-2</v>
      </c>
      <c r="L24" s="21">
        <f>CRF[[#This Row],[Time Spent on Configuration]]+CRF[[#This Row],[Time Spent on Review/Testing]]</f>
        <v>5.2083333333333329E-2</v>
      </c>
      <c r="N24" s="16" t="s">
        <v>28</v>
      </c>
      <c r="O24" s="16" t="s">
        <v>539</v>
      </c>
      <c r="P24" s="16" t="s">
        <v>540</v>
      </c>
      <c r="Q24" s="24">
        <v>45320</v>
      </c>
      <c r="R24" s="16">
        <v>5</v>
      </c>
    </row>
    <row r="25" spans="1:18" ht="115.2" x14ac:dyDescent="0.3">
      <c r="A25" s="16" t="s">
        <v>31</v>
      </c>
      <c r="B25" s="17" t="s">
        <v>50</v>
      </c>
      <c r="C25" s="16" t="s">
        <v>23</v>
      </c>
      <c r="D25" s="16">
        <v>364829</v>
      </c>
      <c r="E25" s="16" t="s">
        <v>40</v>
      </c>
      <c r="F25" s="24">
        <v>45321</v>
      </c>
      <c r="G25" s="24" t="s">
        <v>242</v>
      </c>
      <c r="H25" s="17" t="s">
        <v>592</v>
      </c>
      <c r="I25" s="17" t="s">
        <v>592</v>
      </c>
      <c r="J25" s="19">
        <v>2.0833333333333332E-2</v>
      </c>
      <c r="K25" s="19">
        <v>3.4722222222222224E-2</v>
      </c>
      <c r="L25" s="21">
        <f>CRF[[#This Row],[Time Spent on Configuration]]+CRF[[#This Row],[Time Spent on Review/Testing]]</f>
        <v>5.5555555555555552E-2</v>
      </c>
      <c r="N25" s="16" t="s">
        <v>28</v>
      </c>
      <c r="O25" s="16" t="s">
        <v>539</v>
      </c>
      <c r="P25" s="16" t="s">
        <v>540</v>
      </c>
      <c r="Q25" s="24">
        <v>45321</v>
      </c>
      <c r="R25" s="16">
        <v>5</v>
      </c>
    </row>
    <row r="26" spans="1:18" ht="43.2" x14ac:dyDescent="0.3">
      <c r="A26" s="16" t="s">
        <v>49</v>
      </c>
      <c r="B26" s="17" t="s">
        <v>123</v>
      </c>
      <c r="C26" s="16" t="s">
        <v>23</v>
      </c>
      <c r="D26" s="16">
        <v>365082</v>
      </c>
      <c r="E26" s="16" t="s">
        <v>40</v>
      </c>
      <c r="F26" s="24">
        <v>45323</v>
      </c>
      <c r="G26" s="24" t="s">
        <v>242</v>
      </c>
      <c r="H26" s="17" t="s">
        <v>593</v>
      </c>
      <c r="I26" s="17" t="s">
        <v>594</v>
      </c>
      <c r="J26" s="19">
        <v>2.0833333333333332E-2</v>
      </c>
      <c r="K26" s="19">
        <v>2.7777777777777776E-2</v>
      </c>
      <c r="L26" s="21">
        <f>CRF[[#This Row],[Time Spent on Configuration]]+CRF[[#This Row],[Time Spent on Review/Testing]]</f>
        <v>4.8611111111111105E-2</v>
      </c>
      <c r="N26" s="16" t="s">
        <v>28</v>
      </c>
      <c r="O26" s="16" t="s">
        <v>539</v>
      </c>
      <c r="P26" s="16" t="s">
        <v>114</v>
      </c>
      <c r="Q26" s="24">
        <v>45323</v>
      </c>
      <c r="R26" s="16">
        <v>5</v>
      </c>
    </row>
    <row r="27" spans="1:18" ht="28.8" x14ac:dyDescent="0.3">
      <c r="A27" s="16" t="s">
        <v>49</v>
      </c>
      <c r="B27" s="17" t="s">
        <v>144</v>
      </c>
      <c r="C27" s="16" t="s">
        <v>23</v>
      </c>
      <c r="D27" s="16">
        <v>362979</v>
      </c>
      <c r="E27" s="16" t="s">
        <v>40</v>
      </c>
      <c r="F27" s="24">
        <v>45323</v>
      </c>
      <c r="G27" s="24" t="s">
        <v>242</v>
      </c>
      <c r="H27" s="17" t="s">
        <v>595</v>
      </c>
      <c r="I27" s="17" t="s">
        <v>596</v>
      </c>
      <c r="J27" s="19">
        <v>6.9444444444444441E-3</v>
      </c>
      <c r="K27" s="19">
        <v>2.0833333333333332E-2</v>
      </c>
      <c r="L27" s="21">
        <f>CRF[[#This Row],[Time Spent on Configuration]]+CRF[[#This Row],[Time Spent on Review/Testing]]</f>
        <v>2.7777777777777776E-2</v>
      </c>
      <c r="N27" s="16" t="s">
        <v>28</v>
      </c>
      <c r="O27" s="16" t="s">
        <v>539</v>
      </c>
      <c r="P27" s="16" t="s">
        <v>114</v>
      </c>
      <c r="Q27" s="24">
        <v>45323</v>
      </c>
      <c r="R27" s="16">
        <v>5</v>
      </c>
    </row>
    <row r="28" spans="1:18" ht="86.4" x14ac:dyDescent="0.3">
      <c r="A28" s="16" t="s">
        <v>49</v>
      </c>
      <c r="B28" s="17" t="s">
        <v>597</v>
      </c>
      <c r="C28" s="16" t="s">
        <v>598</v>
      </c>
      <c r="D28" s="16">
        <v>365457</v>
      </c>
      <c r="E28" s="16" t="s">
        <v>40</v>
      </c>
      <c r="F28" s="24">
        <v>45323</v>
      </c>
      <c r="G28" s="24" t="s">
        <v>242</v>
      </c>
      <c r="H28" s="17" t="s">
        <v>599</v>
      </c>
      <c r="I28" s="17" t="s">
        <v>600</v>
      </c>
      <c r="J28" s="19">
        <v>1.3888888888888888E-2</v>
      </c>
      <c r="K28" s="19">
        <v>2.7777777777777776E-2</v>
      </c>
      <c r="L28" s="21">
        <f>CRF[[#This Row],[Time Spent on Configuration]]+CRF[[#This Row],[Time Spent on Review/Testing]]</f>
        <v>4.1666666666666664E-2</v>
      </c>
      <c r="N28" s="16" t="s">
        <v>245</v>
      </c>
      <c r="O28" s="16" t="s">
        <v>539</v>
      </c>
      <c r="P28" s="16" t="s">
        <v>543</v>
      </c>
      <c r="Q28" s="24">
        <v>45323</v>
      </c>
      <c r="R28" s="16">
        <v>5</v>
      </c>
    </row>
    <row r="29" spans="1:18" ht="144" x14ac:dyDescent="0.3">
      <c r="A29" s="16" t="s">
        <v>49</v>
      </c>
      <c r="B29" s="17" t="s">
        <v>109</v>
      </c>
      <c r="C29" s="16" t="s">
        <v>338</v>
      </c>
      <c r="D29" s="16">
        <v>358560</v>
      </c>
      <c r="E29" s="16" t="s">
        <v>24</v>
      </c>
      <c r="F29" s="24">
        <v>45327</v>
      </c>
      <c r="G29" s="24" t="s">
        <v>242</v>
      </c>
      <c r="H29" s="17" t="s">
        <v>601</v>
      </c>
      <c r="I29" s="17" t="s">
        <v>602</v>
      </c>
      <c r="J29" s="19">
        <v>2.7777777777777776E-2</v>
      </c>
      <c r="K29" s="19">
        <v>3.4722222222222224E-2</v>
      </c>
      <c r="L29" s="21">
        <f>CRF[[#This Row],[Time Spent on Configuration]]+CRF[[#This Row],[Time Spent on Review/Testing]]</f>
        <v>6.25E-2</v>
      </c>
      <c r="N29" s="16" t="s">
        <v>603</v>
      </c>
      <c r="O29" s="16" t="s">
        <v>539</v>
      </c>
      <c r="P29" s="16" t="s">
        <v>543</v>
      </c>
      <c r="Q29" s="24">
        <v>45327</v>
      </c>
      <c r="R29" s="16">
        <v>5</v>
      </c>
    </row>
    <row r="30" spans="1:18" ht="72" x14ac:dyDescent="0.3">
      <c r="A30" s="16" t="s">
        <v>49</v>
      </c>
      <c r="B30" s="17" t="s">
        <v>572</v>
      </c>
      <c r="C30" s="16" t="s">
        <v>573</v>
      </c>
      <c r="D30" s="16">
        <v>365940</v>
      </c>
      <c r="E30" s="16" t="s">
        <v>24</v>
      </c>
      <c r="F30" s="24">
        <v>45329</v>
      </c>
      <c r="G30" s="24" t="s">
        <v>242</v>
      </c>
      <c r="H30" s="17" t="s">
        <v>604</v>
      </c>
      <c r="I30" s="17" t="s">
        <v>605</v>
      </c>
      <c r="J30" s="19">
        <v>2.7777777777777776E-2</v>
      </c>
      <c r="K30" s="19">
        <v>4.5138888888888888E-2</v>
      </c>
      <c r="L30" s="21">
        <f>CRF[[#This Row],[Time Spent on Configuration]]+CRF[[#This Row],[Time Spent on Review/Testing]]</f>
        <v>7.2916666666666657E-2</v>
      </c>
      <c r="N30" s="16" t="s">
        <v>28</v>
      </c>
      <c r="O30" s="16" t="s">
        <v>539</v>
      </c>
      <c r="P30" s="16" t="s">
        <v>543</v>
      </c>
      <c r="Q30" s="24">
        <v>45329</v>
      </c>
      <c r="R30" s="16">
        <v>5</v>
      </c>
    </row>
    <row r="31" spans="1:18" ht="331.2" x14ac:dyDescent="0.3">
      <c r="A31" s="16" t="s">
        <v>49</v>
      </c>
      <c r="B31" s="17" t="s">
        <v>377</v>
      </c>
      <c r="C31" s="16" t="s">
        <v>23</v>
      </c>
      <c r="D31" s="16">
        <v>366319</v>
      </c>
      <c r="E31" s="16" t="s">
        <v>40</v>
      </c>
      <c r="F31" s="24">
        <v>45331</v>
      </c>
      <c r="G31" s="24" t="s">
        <v>242</v>
      </c>
      <c r="H31" s="17" t="s">
        <v>606</v>
      </c>
      <c r="I31" s="17" t="s">
        <v>607</v>
      </c>
      <c r="J31" s="19">
        <v>2.0833333333333332E-2</v>
      </c>
      <c r="K31" s="19">
        <v>3.4722222222222224E-2</v>
      </c>
      <c r="L31" s="21">
        <f>CRF[[#This Row],[Time Spent on Configuration]]+CRF[[#This Row],[Time Spent on Review/Testing]]</f>
        <v>5.5555555555555552E-2</v>
      </c>
      <c r="N31" s="16" t="s">
        <v>245</v>
      </c>
      <c r="O31" s="16" t="s">
        <v>539</v>
      </c>
      <c r="P31" s="16" t="s">
        <v>543</v>
      </c>
      <c r="Q31" s="24">
        <v>45331</v>
      </c>
      <c r="R31" s="16">
        <v>5</v>
      </c>
    </row>
    <row r="32" spans="1:18" ht="28.8" x14ac:dyDescent="0.3">
      <c r="A32" s="16" t="s">
        <v>49</v>
      </c>
      <c r="B32" s="17" t="s">
        <v>230</v>
      </c>
      <c r="C32" s="16" t="s">
        <v>23</v>
      </c>
      <c r="D32" s="16">
        <v>366325</v>
      </c>
      <c r="E32" s="16" t="s">
        <v>24</v>
      </c>
      <c r="F32" s="24">
        <v>45334</v>
      </c>
      <c r="G32" s="24" t="s">
        <v>557</v>
      </c>
      <c r="H32" s="17" t="s">
        <v>608</v>
      </c>
      <c r="I32" s="17" t="s">
        <v>609</v>
      </c>
      <c r="J32" s="19">
        <v>1.3888888888888888E-2</v>
      </c>
      <c r="K32" s="19">
        <v>3.125E-2</v>
      </c>
      <c r="L32" s="21">
        <f>CRF[[#This Row],[Time Spent on Configuration]]+CRF[[#This Row],[Time Spent on Review/Testing]]</f>
        <v>4.5138888888888888E-2</v>
      </c>
      <c r="N32" s="16" t="s">
        <v>29</v>
      </c>
      <c r="O32" s="16" t="s">
        <v>539</v>
      </c>
      <c r="P32" s="16" t="s">
        <v>114</v>
      </c>
      <c r="Q32" s="24">
        <v>45334</v>
      </c>
      <c r="R32" s="16">
        <v>5</v>
      </c>
    </row>
    <row r="33" spans="1:18" ht="86.4" x14ac:dyDescent="0.3">
      <c r="A33" s="16" t="s">
        <v>49</v>
      </c>
      <c r="B33" s="17" t="s">
        <v>337</v>
      </c>
      <c r="C33" s="16" t="s">
        <v>338</v>
      </c>
      <c r="D33" s="16">
        <v>366335</v>
      </c>
      <c r="E33" s="16" t="s">
        <v>24</v>
      </c>
      <c r="F33" s="24">
        <v>45334</v>
      </c>
      <c r="G33" s="24" t="s">
        <v>557</v>
      </c>
      <c r="H33" s="17" t="s">
        <v>610</v>
      </c>
      <c r="I33" s="17" t="s">
        <v>611</v>
      </c>
      <c r="J33" s="19">
        <v>2.0833333333333332E-2</v>
      </c>
      <c r="K33" s="19">
        <v>3.4722222222222224E-2</v>
      </c>
      <c r="L33" s="21">
        <f>CRF[[#This Row],[Time Spent on Configuration]]+CRF[[#This Row],[Time Spent on Review/Testing]]</f>
        <v>5.5555555555555552E-2</v>
      </c>
      <c r="N33" s="16" t="s">
        <v>29</v>
      </c>
      <c r="O33" s="16" t="s">
        <v>539</v>
      </c>
      <c r="P33" s="16" t="s">
        <v>540</v>
      </c>
      <c r="Q33" s="24">
        <v>45334</v>
      </c>
      <c r="R33" s="16">
        <v>5</v>
      </c>
    </row>
    <row r="34" spans="1:18" ht="72" x14ac:dyDescent="0.3">
      <c r="A34" s="16" t="s">
        <v>49</v>
      </c>
      <c r="B34" s="17" t="s">
        <v>123</v>
      </c>
      <c r="C34" s="16" t="s">
        <v>23</v>
      </c>
      <c r="D34" s="16">
        <v>366316</v>
      </c>
      <c r="E34" s="16" t="s">
        <v>24</v>
      </c>
      <c r="F34" s="24">
        <v>45334</v>
      </c>
      <c r="G34" s="24" t="s">
        <v>242</v>
      </c>
      <c r="H34" s="17" t="s">
        <v>612</v>
      </c>
      <c r="I34" s="17" t="s">
        <v>612</v>
      </c>
      <c r="J34" s="19">
        <v>3.4722222222222224E-2</v>
      </c>
      <c r="K34" s="19">
        <v>4.1666666666666664E-2</v>
      </c>
      <c r="L34" s="21">
        <f>CRF[[#This Row],[Time Spent on Configuration]]+CRF[[#This Row],[Time Spent on Review/Testing]]</f>
        <v>7.6388888888888895E-2</v>
      </c>
      <c r="N34" s="16" t="s">
        <v>28</v>
      </c>
      <c r="O34" s="16" t="s">
        <v>29</v>
      </c>
      <c r="P34" s="16" t="s">
        <v>114</v>
      </c>
      <c r="Q34" s="24">
        <v>45334</v>
      </c>
      <c r="R34" s="16">
        <v>5</v>
      </c>
    </row>
    <row r="35" spans="1:18" ht="172.8" x14ac:dyDescent="0.3">
      <c r="A35" s="16" t="s">
        <v>49</v>
      </c>
      <c r="B35" s="17" t="s">
        <v>377</v>
      </c>
      <c r="C35" s="16" t="s">
        <v>23</v>
      </c>
      <c r="D35" s="16">
        <v>366464</v>
      </c>
      <c r="E35" s="16" t="s">
        <v>24</v>
      </c>
      <c r="F35" s="24">
        <v>45335</v>
      </c>
      <c r="G35" s="24" t="s">
        <v>242</v>
      </c>
      <c r="H35" s="17" t="s">
        <v>613</v>
      </c>
      <c r="I35" s="17" t="s">
        <v>614</v>
      </c>
      <c r="J35" s="19">
        <v>2.7777777777777776E-2</v>
      </c>
      <c r="K35" s="19">
        <v>4.5138888888888888E-2</v>
      </c>
      <c r="L35" s="21">
        <f>CRF[[#This Row],[Time Spent on Configuration]]+CRF[[#This Row],[Time Spent on Review/Testing]]</f>
        <v>7.2916666666666657E-2</v>
      </c>
      <c r="N35" s="16" t="s">
        <v>29</v>
      </c>
      <c r="O35" s="16" t="s">
        <v>539</v>
      </c>
      <c r="P35" s="16" t="s">
        <v>543</v>
      </c>
      <c r="Q35" s="24">
        <v>45335</v>
      </c>
      <c r="R35" s="16">
        <v>5</v>
      </c>
    </row>
    <row r="36" spans="1:18" ht="86.4" x14ac:dyDescent="0.3">
      <c r="A36" s="16" t="s">
        <v>49</v>
      </c>
      <c r="B36" s="17" t="s">
        <v>22</v>
      </c>
      <c r="C36" s="16" t="s">
        <v>23</v>
      </c>
      <c r="D36" s="16">
        <v>366999</v>
      </c>
      <c r="E36" s="16" t="s">
        <v>24</v>
      </c>
      <c r="F36" s="24">
        <v>45339</v>
      </c>
      <c r="G36" s="24" t="s">
        <v>557</v>
      </c>
      <c r="H36" s="17" t="s">
        <v>615</v>
      </c>
      <c r="I36" s="17" t="s">
        <v>616</v>
      </c>
      <c r="J36" s="19">
        <v>6.9444444444444441E-3</v>
      </c>
      <c r="K36" s="19">
        <v>2.7777777777777776E-2</v>
      </c>
      <c r="L36" s="21">
        <f>CRF[[#This Row],[Time Spent on Configuration]]+CRF[[#This Row],[Time Spent on Review/Testing]]</f>
        <v>3.4722222222222224E-2</v>
      </c>
      <c r="N36" s="16" t="s">
        <v>29</v>
      </c>
      <c r="O36" s="16" t="s">
        <v>539</v>
      </c>
      <c r="P36" s="16" t="s">
        <v>543</v>
      </c>
      <c r="Q36" s="24">
        <v>45339</v>
      </c>
      <c r="R36" s="16">
        <v>5</v>
      </c>
    </row>
    <row r="37" spans="1:18" ht="43.2" x14ac:dyDescent="0.3">
      <c r="A37" s="16" t="s">
        <v>49</v>
      </c>
      <c r="B37" s="17" t="s">
        <v>403</v>
      </c>
      <c r="C37" s="16" t="s">
        <v>404</v>
      </c>
      <c r="D37" s="16">
        <v>367328</v>
      </c>
      <c r="E37" s="16" t="s">
        <v>40</v>
      </c>
      <c r="F37" s="24">
        <v>45344</v>
      </c>
      <c r="G37" s="24" t="s">
        <v>242</v>
      </c>
      <c r="H37" s="17" t="s">
        <v>617</v>
      </c>
      <c r="I37" s="17" t="s">
        <v>618</v>
      </c>
      <c r="J37" s="19">
        <v>2.0833333333333332E-2</v>
      </c>
      <c r="K37" s="19">
        <v>3.125E-2</v>
      </c>
      <c r="L37" s="21">
        <f>CRF[[#This Row],[Time Spent on Configuration]]+CRF[[#This Row],[Time Spent on Review/Testing]]</f>
        <v>5.2083333333333329E-2</v>
      </c>
      <c r="N37" s="16" t="s">
        <v>29</v>
      </c>
      <c r="O37" s="16" t="s">
        <v>245</v>
      </c>
      <c r="P37" s="16" t="s">
        <v>540</v>
      </c>
      <c r="Q37" s="24">
        <v>45344</v>
      </c>
      <c r="R37" s="16">
        <v>5</v>
      </c>
    </row>
    <row r="38" spans="1:18" ht="100.8" x14ac:dyDescent="0.3">
      <c r="A38" s="16" t="s">
        <v>49</v>
      </c>
      <c r="B38" s="17" t="s">
        <v>248</v>
      </c>
      <c r="C38" s="16" t="s">
        <v>23</v>
      </c>
      <c r="D38" s="16">
        <v>366763</v>
      </c>
      <c r="E38" s="16" t="s">
        <v>24</v>
      </c>
      <c r="F38" s="24">
        <v>45344</v>
      </c>
      <c r="G38" s="24" t="s">
        <v>242</v>
      </c>
      <c r="H38" s="17" t="s">
        <v>619</v>
      </c>
      <c r="I38" s="17" t="s">
        <v>619</v>
      </c>
      <c r="J38" s="19">
        <v>4.1666666666666664E-2</v>
      </c>
      <c r="K38" s="19">
        <v>4.8611111111111112E-2</v>
      </c>
      <c r="L38" s="21">
        <f>CRF[[#This Row],[Time Spent on Configuration]]+CRF[[#This Row],[Time Spent on Review/Testing]]</f>
        <v>9.0277777777777776E-2</v>
      </c>
      <c r="N38" s="16" t="s">
        <v>28</v>
      </c>
      <c r="O38" s="16" t="s">
        <v>29</v>
      </c>
      <c r="P38" s="16" t="s">
        <v>540</v>
      </c>
      <c r="Q38" s="24">
        <v>45344</v>
      </c>
      <c r="R38" s="16">
        <v>5</v>
      </c>
    </row>
    <row r="39" spans="1:18" ht="409.6" x14ac:dyDescent="0.3">
      <c r="A39" s="16" t="s">
        <v>49</v>
      </c>
      <c r="B39" s="17" t="s">
        <v>109</v>
      </c>
      <c r="C39" s="16" t="s">
        <v>338</v>
      </c>
      <c r="D39" s="16">
        <v>367057</v>
      </c>
      <c r="E39" s="16" t="s">
        <v>40</v>
      </c>
      <c r="F39" s="24">
        <v>45345</v>
      </c>
      <c r="G39" s="24" t="s">
        <v>242</v>
      </c>
      <c r="H39" s="17" t="s">
        <v>620</v>
      </c>
      <c r="I39" s="17" t="s">
        <v>621</v>
      </c>
      <c r="J39" s="19">
        <v>4.1666666666666664E-2</v>
      </c>
      <c r="K39" s="19">
        <v>2.7777777777777776E-2</v>
      </c>
      <c r="L39" s="21">
        <f>CRF[[#This Row],[Time Spent on Configuration]]+CRF[[#This Row],[Time Spent on Review/Testing]]</f>
        <v>6.9444444444444448E-2</v>
      </c>
      <c r="N39" s="16" t="s">
        <v>28</v>
      </c>
      <c r="O39" s="16" t="s">
        <v>539</v>
      </c>
      <c r="P39" s="16" t="s">
        <v>543</v>
      </c>
      <c r="Q39" s="24">
        <v>45348</v>
      </c>
      <c r="R39" s="16">
        <v>5</v>
      </c>
    </row>
    <row r="40" spans="1:18" ht="43.2" x14ac:dyDescent="0.3">
      <c r="A40" s="16" t="s">
        <v>49</v>
      </c>
      <c r="B40" s="17" t="s">
        <v>384</v>
      </c>
      <c r="C40" s="16" t="s">
        <v>385</v>
      </c>
      <c r="D40" s="16">
        <v>367913</v>
      </c>
      <c r="E40" s="16" t="s">
        <v>40</v>
      </c>
      <c r="F40" s="24">
        <v>45349</v>
      </c>
      <c r="G40" s="24" t="s">
        <v>242</v>
      </c>
      <c r="H40" s="17" t="s">
        <v>622</v>
      </c>
      <c r="I40" s="17" t="s">
        <v>623</v>
      </c>
      <c r="J40" s="19">
        <v>1.0416666666666666E-2</v>
      </c>
      <c r="K40" s="19">
        <v>4.1666666666666664E-2</v>
      </c>
      <c r="L40" s="21">
        <f>CRF[[#This Row],[Time Spent on Configuration]]+CRF[[#This Row],[Time Spent on Review/Testing]]</f>
        <v>5.2083333333333329E-2</v>
      </c>
      <c r="N40" s="16" t="s">
        <v>28</v>
      </c>
      <c r="O40" s="16" t="s">
        <v>245</v>
      </c>
      <c r="P40" s="16" t="s">
        <v>543</v>
      </c>
      <c r="Q40" s="24">
        <v>45349</v>
      </c>
      <c r="R40" s="16">
        <v>5</v>
      </c>
    </row>
    <row r="41" spans="1:18" ht="187.2" x14ac:dyDescent="0.3">
      <c r="A41" s="16" t="s">
        <v>49</v>
      </c>
      <c r="B41" s="17" t="s">
        <v>39</v>
      </c>
      <c r="C41" s="16" t="s">
        <v>23</v>
      </c>
      <c r="D41" s="16">
        <v>368194</v>
      </c>
      <c r="E41" s="16" t="s">
        <v>24</v>
      </c>
      <c r="F41" s="24">
        <v>45350</v>
      </c>
      <c r="G41" s="24" t="s">
        <v>242</v>
      </c>
      <c r="H41" s="17" t="s">
        <v>624</v>
      </c>
      <c r="I41" s="17" t="s">
        <v>625</v>
      </c>
      <c r="J41" s="19">
        <v>5.5555555555555552E-2</v>
      </c>
      <c r="K41" s="19">
        <v>6.5972222222222224E-2</v>
      </c>
      <c r="L41" s="21">
        <f>CRF[[#This Row],[Time Spent on Configuration]]+CRF[[#This Row],[Time Spent on Review/Testing]]</f>
        <v>0.12152777777777778</v>
      </c>
      <c r="N41" s="16" t="s">
        <v>29</v>
      </c>
      <c r="O41" s="16" t="s">
        <v>245</v>
      </c>
      <c r="P41" s="16" t="s">
        <v>543</v>
      </c>
      <c r="Q41" s="24">
        <v>45350</v>
      </c>
      <c r="R41" s="16">
        <v>5</v>
      </c>
    </row>
    <row r="42" spans="1:18" ht="115.2" x14ac:dyDescent="0.3">
      <c r="A42" s="16" t="s">
        <v>49</v>
      </c>
      <c r="B42" s="17" t="s">
        <v>626</v>
      </c>
      <c r="C42" s="16" t="s">
        <v>598</v>
      </c>
      <c r="D42" s="16">
        <v>368194</v>
      </c>
      <c r="E42" s="16" t="s">
        <v>24</v>
      </c>
      <c r="F42" s="24">
        <v>45350</v>
      </c>
      <c r="G42" s="24" t="s">
        <v>242</v>
      </c>
      <c r="H42" s="17" t="s">
        <v>627</v>
      </c>
      <c r="I42" s="17" t="s">
        <v>628</v>
      </c>
      <c r="J42" s="19">
        <v>1.0416666666666666E-2</v>
      </c>
      <c r="K42" s="19">
        <v>2.7777777777777776E-2</v>
      </c>
      <c r="L42" s="21">
        <f>CRF[[#This Row],[Time Spent on Configuration]]+CRF[[#This Row],[Time Spent on Review/Testing]]</f>
        <v>3.8194444444444441E-2</v>
      </c>
      <c r="N42" s="16" t="s">
        <v>29</v>
      </c>
      <c r="O42" s="16" t="s">
        <v>245</v>
      </c>
      <c r="P42" s="16" t="s">
        <v>543</v>
      </c>
      <c r="Q42" s="24">
        <v>45350</v>
      </c>
      <c r="R42" s="16">
        <v>5</v>
      </c>
    </row>
    <row r="43" spans="1:18" ht="115.2" x14ac:dyDescent="0.3">
      <c r="A43" s="16" t="s">
        <v>49</v>
      </c>
      <c r="B43" s="17" t="s">
        <v>597</v>
      </c>
      <c r="C43" s="16" t="s">
        <v>598</v>
      </c>
      <c r="D43" s="16">
        <v>368194</v>
      </c>
      <c r="E43" s="16" t="s">
        <v>24</v>
      </c>
      <c r="F43" s="24">
        <v>45350</v>
      </c>
      <c r="G43" s="24" t="s">
        <v>242</v>
      </c>
      <c r="H43" s="17" t="s">
        <v>627</v>
      </c>
      <c r="I43" s="17" t="s">
        <v>628</v>
      </c>
      <c r="J43" s="19">
        <v>1.0416666666666666E-2</v>
      </c>
      <c r="K43" s="19">
        <v>2.7777777777777776E-2</v>
      </c>
      <c r="L43" s="21">
        <f>CRF[[#This Row],[Time Spent on Configuration]]+CRF[[#This Row],[Time Spent on Review/Testing]]</f>
        <v>3.8194444444444441E-2</v>
      </c>
      <c r="N43" s="16" t="s">
        <v>29</v>
      </c>
      <c r="O43" s="16" t="s">
        <v>245</v>
      </c>
      <c r="P43" s="16" t="s">
        <v>543</v>
      </c>
      <c r="Q43" s="24">
        <v>45350</v>
      </c>
      <c r="R43" s="16">
        <v>5</v>
      </c>
    </row>
    <row r="44" spans="1:18" ht="115.2" x14ac:dyDescent="0.3">
      <c r="A44" s="16" t="s">
        <v>49</v>
      </c>
      <c r="B44" s="17" t="s">
        <v>629</v>
      </c>
      <c r="C44" s="16" t="s">
        <v>598</v>
      </c>
      <c r="D44" s="16">
        <v>368194</v>
      </c>
      <c r="E44" s="16" t="s">
        <v>24</v>
      </c>
      <c r="F44" s="24">
        <v>45350</v>
      </c>
      <c r="G44" s="24" t="s">
        <v>242</v>
      </c>
      <c r="H44" s="17" t="s">
        <v>627</v>
      </c>
      <c r="I44" s="17" t="s">
        <v>628</v>
      </c>
      <c r="J44" s="19">
        <v>6.9444444444444441E-3</v>
      </c>
      <c r="K44" s="19">
        <v>3.4722222222222224E-2</v>
      </c>
      <c r="L44" s="21">
        <f>CRF[[#This Row],[Time Spent on Configuration]]+CRF[[#This Row],[Time Spent on Review/Testing]]</f>
        <v>4.1666666666666671E-2</v>
      </c>
      <c r="N44" s="16" t="s">
        <v>29</v>
      </c>
      <c r="O44" s="16" t="s">
        <v>245</v>
      </c>
      <c r="P44" s="16" t="s">
        <v>543</v>
      </c>
      <c r="Q44" s="24">
        <v>45350</v>
      </c>
      <c r="R44" s="16">
        <v>5</v>
      </c>
    </row>
    <row r="45" spans="1:18" ht="100.8" x14ac:dyDescent="0.3">
      <c r="A45" s="16" t="s">
        <v>49</v>
      </c>
      <c r="B45" s="17" t="s">
        <v>109</v>
      </c>
      <c r="C45" s="16" t="s">
        <v>338</v>
      </c>
      <c r="D45" s="16">
        <v>367249</v>
      </c>
      <c r="E45" s="16" t="s">
        <v>40</v>
      </c>
      <c r="F45" s="24">
        <v>45351</v>
      </c>
      <c r="G45" s="24" t="s">
        <v>242</v>
      </c>
      <c r="H45" s="17" t="s">
        <v>630</v>
      </c>
      <c r="I45" s="17" t="s">
        <v>631</v>
      </c>
      <c r="J45" s="19">
        <v>1.3888888888888888E-2</v>
      </c>
      <c r="K45" s="19">
        <v>2.0833333333333332E-2</v>
      </c>
      <c r="L45" s="21">
        <f>CRF[[#This Row],[Time Spent on Configuration]]+CRF[[#This Row],[Time Spent on Review/Testing]]</f>
        <v>3.4722222222222224E-2</v>
      </c>
      <c r="N45" s="16" t="s">
        <v>28</v>
      </c>
      <c r="O45" s="16" t="s">
        <v>29</v>
      </c>
      <c r="P45" s="16" t="s">
        <v>543</v>
      </c>
      <c r="Q45" s="24">
        <v>45355</v>
      </c>
      <c r="R45" s="16">
        <v>5</v>
      </c>
    </row>
    <row r="46" spans="1:18" ht="115.2" x14ac:dyDescent="0.3">
      <c r="A46" s="16" t="s">
        <v>49</v>
      </c>
      <c r="B46" s="17" t="s">
        <v>632</v>
      </c>
      <c r="C46" s="16" t="s">
        <v>633</v>
      </c>
      <c r="D46" s="16">
        <v>367754</v>
      </c>
      <c r="E46" s="16" t="s">
        <v>40</v>
      </c>
      <c r="F46" s="24">
        <v>45351</v>
      </c>
      <c r="G46" s="24" t="s">
        <v>242</v>
      </c>
      <c r="H46" s="17" t="s">
        <v>634</v>
      </c>
      <c r="I46" s="17" t="s">
        <v>635</v>
      </c>
      <c r="J46" s="19">
        <v>1.3888888888888888E-2</v>
      </c>
      <c r="K46" s="19">
        <v>3.4722222222222224E-2</v>
      </c>
      <c r="L46" s="21">
        <f>CRF[[#This Row],[Time Spent on Configuration]]+CRF[[#This Row],[Time Spent on Review/Testing]]</f>
        <v>4.8611111111111112E-2</v>
      </c>
      <c r="N46" s="16" t="s">
        <v>28</v>
      </c>
      <c r="O46" s="16" t="s">
        <v>245</v>
      </c>
      <c r="P46" s="16" t="s">
        <v>540</v>
      </c>
      <c r="Q46" s="24">
        <v>45351</v>
      </c>
      <c r="R46" s="16">
        <v>5</v>
      </c>
    </row>
    <row r="47" spans="1:18" ht="172.8" x14ac:dyDescent="0.3">
      <c r="A47" s="16" t="s">
        <v>65</v>
      </c>
      <c r="B47" s="17" t="s">
        <v>123</v>
      </c>
      <c r="C47" s="16" t="s">
        <v>23</v>
      </c>
      <c r="D47" s="16">
        <v>365733</v>
      </c>
      <c r="E47" s="16" t="s">
        <v>24</v>
      </c>
      <c r="F47" s="24">
        <v>45352</v>
      </c>
      <c r="G47" s="24" t="s">
        <v>242</v>
      </c>
      <c r="H47" s="17" t="s">
        <v>636</v>
      </c>
      <c r="I47" s="17" t="s">
        <v>637</v>
      </c>
      <c r="J47" s="19">
        <v>2.0833333333333332E-2</v>
      </c>
      <c r="K47" s="19">
        <v>3.8194444444444448E-2</v>
      </c>
      <c r="L47" s="21">
        <f>CRF[[#This Row],[Time Spent on Configuration]]+CRF[[#This Row],[Time Spent on Review/Testing]]</f>
        <v>5.9027777777777776E-2</v>
      </c>
      <c r="N47" s="16" t="s">
        <v>603</v>
      </c>
      <c r="O47" s="16" t="s">
        <v>245</v>
      </c>
      <c r="P47" s="16" t="s">
        <v>114</v>
      </c>
      <c r="Q47" s="24">
        <v>45352</v>
      </c>
      <c r="R47" s="16">
        <v>5</v>
      </c>
    </row>
    <row r="48" spans="1:18" ht="316.8" x14ac:dyDescent="0.3">
      <c r="A48" s="16" t="s">
        <v>65</v>
      </c>
      <c r="B48" s="17" t="s">
        <v>638</v>
      </c>
      <c r="C48" s="16" t="s">
        <v>598</v>
      </c>
      <c r="D48" s="16">
        <v>368731</v>
      </c>
      <c r="E48" s="16" t="s">
        <v>24</v>
      </c>
      <c r="F48" s="24">
        <v>45355</v>
      </c>
      <c r="G48" s="24" t="s">
        <v>557</v>
      </c>
      <c r="H48" s="17" t="s">
        <v>639</v>
      </c>
      <c r="I48" s="17" t="s">
        <v>640</v>
      </c>
      <c r="J48" s="19">
        <v>1.3888888888888888E-2</v>
      </c>
      <c r="K48" s="19">
        <v>2.4305555555555556E-2</v>
      </c>
      <c r="L48" s="21">
        <f>CRF[[#This Row],[Time Spent on Configuration]]+CRF[[#This Row],[Time Spent on Review/Testing]]</f>
        <v>3.8194444444444448E-2</v>
      </c>
      <c r="N48" s="16" t="s">
        <v>29</v>
      </c>
      <c r="O48" s="16" t="s">
        <v>539</v>
      </c>
      <c r="P48" s="16" t="s">
        <v>543</v>
      </c>
      <c r="Q48" s="24">
        <v>45355</v>
      </c>
      <c r="R48" s="16">
        <v>5</v>
      </c>
    </row>
    <row r="49" spans="1:18" ht="86.4" x14ac:dyDescent="0.3">
      <c r="A49" s="16" t="s">
        <v>65</v>
      </c>
      <c r="B49" s="17" t="s">
        <v>109</v>
      </c>
      <c r="C49" s="16" t="s">
        <v>338</v>
      </c>
      <c r="D49" s="16">
        <v>368965</v>
      </c>
      <c r="E49" s="16" t="s">
        <v>40</v>
      </c>
      <c r="F49" s="24">
        <v>45356</v>
      </c>
      <c r="G49" s="24" t="s">
        <v>81</v>
      </c>
      <c r="H49" s="17" t="s">
        <v>641</v>
      </c>
      <c r="I49" s="17" t="s">
        <v>642</v>
      </c>
      <c r="J49" s="19">
        <v>4.1666666666666664E-2</v>
      </c>
      <c r="K49" s="19">
        <v>3.125E-2</v>
      </c>
      <c r="L49" s="21">
        <f>CRF[[#This Row],[Time Spent on Configuration]]+CRF[[#This Row],[Time Spent on Review/Testing]]</f>
        <v>7.2916666666666657E-2</v>
      </c>
      <c r="N49" s="16" t="s">
        <v>28</v>
      </c>
      <c r="O49" s="16" t="s">
        <v>29</v>
      </c>
      <c r="P49" s="16" t="s">
        <v>543</v>
      </c>
      <c r="Q49" s="24">
        <v>45356</v>
      </c>
      <c r="R49" s="16">
        <v>5</v>
      </c>
    </row>
    <row r="50" spans="1:18" ht="86.4" x14ac:dyDescent="0.3">
      <c r="A50" s="16" t="s">
        <v>65</v>
      </c>
      <c r="B50" s="17" t="s">
        <v>337</v>
      </c>
      <c r="C50" s="16" t="s">
        <v>338</v>
      </c>
      <c r="D50" s="16">
        <v>369490</v>
      </c>
      <c r="E50" s="16" t="s">
        <v>40</v>
      </c>
      <c r="F50" s="24">
        <v>45362</v>
      </c>
      <c r="G50" s="24" t="s">
        <v>242</v>
      </c>
      <c r="H50" s="17" t="s">
        <v>643</v>
      </c>
      <c r="I50" s="17" t="s">
        <v>644</v>
      </c>
      <c r="J50" s="19">
        <v>0</v>
      </c>
      <c r="K50" s="19">
        <v>3.125E-2</v>
      </c>
      <c r="L50" s="21">
        <f>CRF[[#This Row],[Time Spent on Configuration]]+CRF[[#This Row],[Time Spent on Review/Testing]]</f>
        <v>3.125E-2</v>
      </c>
      <c r="N50" s="16" t="s">
        <v>252</v>
      </c>
      <c r="O50" s="16" t="s">
        <v>245</v>
      </c>
      <c r="P50" s="16" t="s">
        <v>540</v>
      </c>
      <c r="Q50" s="24">
        <v>45362</v>
      </c>
      <c r="R50" s="16">
        <v>5</v>
      </c>
    </row>
    <row r="51" spans="1:18" ht="158.4" x14ac:dyDescent="0.3">
      <c r="A51" s="16" t="s">
        <v>65</v>
      </c>
      <c r="B51" s="17" t="s">
        <v>401</v>
      </c>
      <c r="C51" s="16" t="s">
        <v>402</v>
      </c>
      <c r="D51" s="16">
        <v>366772</v>
      </c>
      <c r="E51" s="16" t="s">
        <v>40</v>
      </c>
      <c r="F51" s="24">
        <v>45364</v>
      </c>
      <c r="G51" s="24" t="s">
        <v>242</v>
      </c>
      <c r="H51" s="17" t="s">
        <v>645</v>
      </c>
      <c r="I51" s="17" t="s">
        <v>646</v>
      </c>
      <c r="J51" s="19">
        <v>1.0416666666666666E-2</v>
      </c>
      <c r="K51" s="19">
        <v>3.4722222222222224E-2</v>
      </c>
      <c r="L51" s="21">
        <f>CRF[[#This Row],[Time Spent on Configuration]]+CRF[[#This Row],[Time Spent on Review/Testing]]</f>
        <v>4.5138888888888888E-2</v>
      </c>
      <c r="N51" s="16" t="s">
        <v>28</v>
      </c>
      <c r="O51" s="16" t="s">
        <v>245</v>
      </c>
      <c r="P51" s="16" t="s">
        <v>540</v>
      </c>
      <c r="Q51" s="24">
        <v>45364</v>
      </c>
      <c r="R51" s="16">
        <v>5</v>
      </c>
    </row>
    <row r="52" spans="1:18" ht="57.6" x14ac:dyDescent="0.3">
      <c r="A52" s="16" t="s">
        <v>65</v>
      </c>
      <c r="B52" s="17" t="s">
        <v>109</v>
      </c>
      <c r="C52" s="16" t="s">
        <v>338</v>
      </c>
      <c r="D52" s="16">
        <v>366857</v>
      </c>
      <c r="E52" s="16" t="s">
        <v>24</v>
      </c>
      <c r="F52" s="24">
        <v>45364</v>
      </c>
      <c r="G52" s="24" t="s">
        <v>242</v>
      </c>
      <c r="H52" s="17" t="s">
        <v>647</v>
      </c>
      <c r="I52" s="17" t="s">
        <v>648</v>
      </c>
      <c r="J52" s="19">
        <v>3.125E-2</v>
      </c>
      <c r="K52" s="19">
        <v>6.25E-2</v>
      </c>
      <c r="L52" s="21">
        <f>CRF[[#This Row],[Time Spent on Configuration]]+CRF[[#This Row],[Time Spent on Review/Testing]]</f>
        <v>9.375E-2</v>
      </c>
      <c r="N52" s="16" t="s">
        <v>28</v>
      </c>
      <c r="O52" s="16" t="s">
        <v>245</v>
      </c>
      <c r="P52" s="16" t="s">
        <v>543</v>
      </c>
      <c r="Q52" s="24">
        <v>45364</v>
      </c>
      <c r="R52" s="16">
        <v>5</v>
      </c>
    </row>
    <row r="53" spans="1:18" ht="129.6" x14ac:dyDescent="0.3">
      <c r="A53" s="16" t="s">
        <v>65</v>
      </c>
      <c r="B53" s="17" t="s">
        <v>649</v>
      </c>
      <c r="C53" s="16" t="s">
        <v>385</v>
      </c>
      <c r="D53" s="16">
        <v>368206</v>
      </c>
      <c r="E53" s="16" t="s">
        <v>40</v>
      </c>
      <c r="F53" s="24">
        <v>45366</v>
      </c>
      <c r="G53" s="24" t="s">
        <v>242</v>
      </c>
      <c r="H53" s="17" t="s">
        <v>650</v>
      </c>
      <c r="I53" s="17" t="s">
        <v>651</v>
      </c>
      <c r="J53" s="19">
        <v>0.11805555555555555</v>
      </c>
      <c r="K53" s="19">
        <v>7.6388888888888895E-2</v>
      </c>
      <c r="L53" s="21">
        <f>CRF[[#This Row],[Time Spent on Configuration]]+CRF[[#This Row],[Time Spent on Review/Testing]]</f>
        <v>0.19444444444444445</v>
      </c>
      <c r="N53" s="16" t="s">
        <v>28</v>
      </c>
      <c r="O53" s="16" t="s">
        <v>245</v>
      </c>
      <c r="P53" s="16" t="s">
        <v>114</v>
      </c>
      <c r="Q53" s="24">
        <v>45366</v>
      </c>
      <c r="R53" s="16">
        <v>5</v>
      </c>
    </row>
    <row r="54" spans="1:18" ht="72" x14ac:dyDescent="0.3">
      <c r="A54" s="16" t="s">
        <v>65</v>
      </c>
      <c r="B54" s="17" t="s">
        <v>123</v>
      </c>
      <c r="C54" s="16" t="s">
        <v>23</v>
      </c>
      <c r="D54" s="16">
        <v>369613</v>
      </c>
      <c r="E54" s="16" t="s">
        <v>24</v>
      </c>
      <c r="F54" s="24">
        <v>45366</v>
      </c>
      <c r="G54" s="24" t="s">
        <v>242</v>
      </c>
      <c r="H54" s="17" t="s">
        <v>652</v>
      </c>
      <c r="I54" s="17" t="s">
        <v>653</v>
      </c>
      <c r="J54" s="19">
        <v>3.4722222222222224E-2</v>
      </c>
      <c r="K54" s="19">
        <v>4.1666666666666664E-2</v>
      </c>
      <c r="L54" s="21">
        <f>CRF[[#This Row],[Time Spent on Configuration]]+CRF[[#This Row],[Time Spent on Review/Testing]]</f>
        <v>7.6388888888888895E-2</v>
      </c>
      <c r="N54" s="16" t="s">
        <v>245</v>
      </c>
      <c r="O54" s="16" t="s">
        <v>28</v>
      </c>
      <c r="P54" s="16" t="s">
        <v>114</v>
      </c>
      <c r="Q54" s="24">
        <v>45366</v>
      </c>
      <c r="R54" s="16">
        <v>5</v>
      </c>
    </row>
    <row r="55" spans="1:18" ht="43.2" x14ac:dyDescent="0.3">
      <c r="A55" s="16" t="s">
        <v>65</v>
      </c>
      <c r="B55" s="17" t="s">
        <v>237</v>
      </c>
      <c r="C55" s="16" t="s">
        <v>23</v>
      </c>
      <c r="D55" s="16">
        <v>371210</v>
      </c>
      <c r="E55" s="16" t="s">
        <v>24</v>
      </c>
      <c r="F55" s="24">
        <v>45378</v>
      </c>
      <c r="G55" s="24" t="s">
        <v>25</v>
      </c>
      <c r="H55" s="17" t="s">
        <v>654</v>
      </c>
      <c r="I55" s="17" t="s">
        <v>655</v>
      </c>
      <c r="J55" s="19">
        <v>3.4722222222222224E-2</v>
      </c>
      <c r="K55" s="19">
        <v>6.9444444444444448E-2</v>
      </c>
      <c r="L55" s="21">
        <f>CRF[[#This Row],[Time Spent on Configuration]]+CRF[[#This Row],[Time Spent on Review/Testing]]</f>
        <v>0.10416666666666667</v>
      </c>
      <c r="N55" s="16" t="s">
        <v>29</v>
      </c>
      <c r="O55" s="16" t="s">
        <v>245</v>
      </c>
      <c r="P55" s="16" t="s">
        <v>38</v>
      </c>
      <c r="Q55" s="24">
        <v>45378</v>
      </c>
      <c r="R55" s="16">
        <v>5</v>
      </c>
    </row>
    <row r="56" spans="1:18" ht="28.8" x14ac:dyDescent="0.3">
      <c r="A56" s="16" t="s">
        <v>65</v>
      </c>
      <c r="B56" s="17" t="s">
        <v>115</v>
      </c>
      <c r="C56" s="16" t="s">
        <v>116</v>
      </c>
      <c r="D56" s="16">
        <v>368585</v>
      </c>
      <c r="E56" s="16" t="s">
        <v>24</v>
      </c>
      <c r="F56" s="24">
        <v>45378</v>
      </c>
      <c r="G56" s="24" t="s">
        <v>302</v>
      </c>
      <c r="H56" s="17" t="s">
        <v>656</v>
      </c>
      <c r="I56" s="17" t="s">
        <v>657</v>
      </c>
      <c r="J56" s="19">
        <v>2.0833333333333332E-2</v>
      </c>
      <c r="K56" s="19">
        <v>2.4305555555555556E-2</v>
      </c>
      <c r="L56" s="21">
        <f>CRF[[#This Row],[Time Spent on Configuration]]+CRF[[#This Row],[Time Spent on Review/Testing]]</f>
        <v>4.5138888888888888E-2</v>
      </c>
      <c r="N56" s="16" t="s">
        <v>252</v>
      </c>
      <c r="O56" s="16" t="s">
        <v>245</v>
      </c>
      <c r="P56" s="16" t="s">
        <v>114</v>
      </c>
      <c r="Q56" s="24">
        <v>45378</v>
      </c>
      <c r="R56" s="16">
        <v>5</v>
      </c>
    </row>
    <row r="57" spans="1:18" ht="43.2" x14ac:dyDescent="0.3">
      <c r="A57" s="16" t="s">
        <v>65</v>
      </c>
      <c r="B57" s="17" t="s">
        <v>649</v>
      </c>
      <c r="C57" s="16" t="s">
        <v>385</v>
      </c>
      <c r="D57" s="16">
        <v>370317</v>
      </c>
      <c r="E57" s="16" t="s">
        <v>24</v>
      </c>
      <c r="F57" s="24">
        <v>45378</v>
      </c>
      <c r="G57" s="24" t="s">
        <v>81</v>
      </c>
      <c r="H57" s="17" t="s">
        <v>658</v>
      </c>
      <c r="I57" s="17" t="s">
        <v>659</v>
      </c>
      <c r="J57" s="19">
        <v>2.0833333333333332E-2</v>
      </c>
      <c r="K57" s="19">
        <v>5.2083333333333336E-2</v>
      </c>
      <c r="L57" s="21">
        <f>CRF[[#This Row],[Time Spent on Configuration]]+CRF[[#This Row],[Time Spent on Review/Testing]]</f>
        <v>7.2916666666666671E-2</v>
      </c>
      <c r="N57" s="16" t="s">
        <v>29</v>
      </c>
      <c r="O57" s="16" t="s">
        <v>245</v>
      </c>
      <c r="P57" s="16" t="s">
        <v>114</v>
      </c>
      <c r="Q57" s="24">
        <v>45378</v>
      </c>
      <c r="R57" s="16">
        <v>5</v>
      </c>
    </row>
    <row r="58" spans="1:18" ht="43.2" x14ac:dyDescent="0.3">
      <c r="A58" s="16" t="s">
        <v>155</v>
      </c>
      <c r="B58" s="17" t="s">
        <v>237</v>
      </c>
      <c r="C58" s="16" t="s">
        <v>23</v>
      </c>
      <c r="D58" s="16">
        <v>371985</v>
      </c>
      <c r="E58" s="16" t="s">
        <v>24</v>
      </c>
      <c r="F58" s="24">
        <v>45385</v>
      </c>
      <c r="G58" s="24" t="s">
        <v>25</v>
      </c>
      <c r="H58" s="17" t="s">
        <v>660</v>
      </c>
      <c r="I58" s="17" t="s">
        <v>661</v>
      </c>
      <c r="J58" s="19">
        <v>3.125E-2</v>
      </c>
      <c r="K58" s="19">
        <v>2.7777777777777776E-2</v>
      </c>
      <c r="L58" s="21">
        <f>CRF[[#This Row],[Time Spent on Configuration]]+CRF[[#This Row],[Time Spent on Review/Testing]]</f>
        <v>5.9027777777777776E-2</v>
      </c>
      <c r="N58" s="16" t="s">
        <v>245</v>
      </c>
      <c r="O58" s="16" t="s">
        <v>29</v>
      </c>
      <c r="P58" s="16" t="s">
        <v>450</v>
      </c>
      <c r="Q58" s="24">
        <v>45385</v>
      </c>
      <c r="R58" s="16">
        <v>5</v>
      </c>
    </row>
    <row r="59" spans="1:18" ht="57.6" x14ac:dyDescent="0.3">
      <c r="A59" s="16" t="s">
        <v>155</v>
      </c>
      <c r="B59" s="17" t="s">
        <v>632</v>
      </c>
      <c r="C59" s="16" t="s">
        <v>633</v>
      </c>
      <c r="D59" s="16">
        <v>372187</v>
      </c>
      <c r="E59" s="16" t="s">
        <v>24</v>
      </c>
      <c r="F59" s="24">
        <v>45386</v>
      </c>
      <c r="G59" s="24" t="s">
        <v>557</v>
      </c>
      <c r="H59" s="17" t="s">
        <v>662</v>
      </c>
      <c r="I59" s="17" t="s">
        <v>663</v>
      </c>
      <c r="J59" s="19">
        <v>1.3888888888888888E-2</v>
      </c>
      <c r="K59" s="19">
        <v>3.125E-2</v>
      </c>
      <c r="L59" s="21">
        <f>CRF[[#This Row],[Time Spent on Configuration]]+CRF[[#This Row],[Time Spent on Review/Testing]]</f>
        <v>4.5138888888888888E-2</v>
      </c>
      <c r="N59" s="16" t="s">
        <v>29</v>
      </c>
      <c r="O59" s="16" t="s">
        <v>245</v>
      </c>
      <c r="P59" s="16" t="s">
        <v>38</v>
      </c>
      <c r="Q59" s="24">
        <v>45386</v>
      </c>
      <c r="R59" s="16">
        <v>5</v>
      </c>
    </row>
    <row r="60" spans="1:18" ht="409.6" x14ac:dyDescent="0.3">
      <c r="A60" s="16" t="s">
        <v>155</v>
      </c>
      <c r="B60" s="17" t="s">
        <v>403</v>
      </c>
      <c r="C60" s="16" t="s">
        <v>404</v>
      </c>
      <c r="D60" s="16">
        <v>366058</v>
      </c>
      <c r="E60" s="16" t="s">
        <v>40</v>
      </c>
      <c r="F60" s="24">
        <v>45386</v>
      </c>
      <c r="G60" s="24" t="s">
        <v>25</v>
      </c>
      <c r="H60" s="17" t="s">
        <v>664</v>
      </c>
      <c r="I60" s="17" t="s">
        <v>665</v>
      </c>
      <c r="J60" s="19">
        <v>2.0833333333333332E-2</v>
      </c>
      <c r="K60" s="19">
        <v>5.5555555555555552E-2</v>
      </c>
      <c r="L60" s="21">
        <f>CRF[[#This Row],[Time Spent on Configuration]]+CRF[[#This Row],[Time Spent on Review/Testing]]</f>
        <v>7.6388888888888881E-2</v>
      </c>
      <c r="N60" s="16" t="s">
        <v>28</v>
      </c>
      <c r="O60" s="16" t="s">
        <v>539</v>
      </c>
      <c r="P60" s="16" t="s">
        <v>38</v>
      </c>
      <c r="Q60" s="24">
        <v>45386</v>
      </c>
      <c r="R60" s="16">
        <v>5</v>
      </c>
    </row>
    <row r="61" spans="1:18" ht="72" x14ac:dyDescent="0.3">
      <c r="A61" s="16" t="s">
        <v>155</v>
      </c>
      <c r="B61" s="17" t="s">
        <v>666</v>
      </c>
      <c r="C61" s="16" t="s">
        <v>667</v>
      </c>
      <c r="D61" s="16">
        <v>370380</v>
      </c>
      <c r="E61" s="16" t="s">
        <v>40</v>
      </c>
      <c r="F61" s="24">
        <v>45390</v>
      </c>
      <c r="G61" s="24" t="s">
        <v>231</v>
      </c>
      <c r="H61" s="17" t="s">
        <v>668</v>
      </c>
      <c r="I61" s="17" t="s">
        <v>669</v>
      </c>
      <c r="J61" s="19">
        <v>1.3888888888888888E-2</v>
      </c>
      <c r="K61" s="19">
        <v>2.0833333333333332E-2</v>
      </c>
      <c r="L61" s="21">
        <f>CRF[[#This Row],[Time Spent on Configuration]]+CRF[[#This Row],[Time Spent on Review/Testing]]</f>
        <v>3.4722222222222224E-2</v>
      </c>
      <c r="N61" s="16" t="s">
        <v>245</v>
      </c>
      <c r="O61" s="16" t="s">
        <v>29</v>
      </c>
      <c r="P61" s="16" t="s">
        <v>114</v>
      </c>
      <c r="Q61" s="24">
        <v>45390</v>
      </c>
      <c r="R61" s="16">
        <v>5</v>
      </c>
    </row>
    <row r="62" spans="1:18" ht="86.4" x14ac:dyDescent="0.3">
      <c r="A62" s="16" t="s">
        <v>155</v>
      </c>
      <c r="B62" s="17" t="s">
        <v>638</v>
      </c>
      <c r="C62" s="16" t="s">
        <v>598</v>
      </c>
      <c r="D62" s="16">
        <v>372310</v>
      </c>
      <c r="E62" s="16" t="s">
        <v>40</v>
      </c>
      <c r="F62" s="24">
        <v>45392</v>
      </c>
      <c r="G62" s="24" t="s">
        <v>242</v>
      </c>
      <c r="H62" s="17" t="s">
        <v>670</v>
      </c>
      <c r="I62" s="17" t="s">
        <v>671</v>
      </c>
      <c r="J62" s="19">
        <v>1.3888888888888888E-2</v>
      </c>
      <c r="K62" s="19">
        <v>2.7777777777777776E-2</v>
      </c>
      <c r="L62" s="21">
        <f>CRF[[#This Row],[Time Spent on Configuration]]+CRF[[#This Row],[Time Spent on Review/Testing]]</f>
        <v>4.1666666666666664E-2</v>
      </c>
      <c r="N62" s="16" t="s">
        <v>28</v>
      </c>
      <c r="O62" s="16" t="s">
        <v>245</v>
      </c>
      <c r="P62" s="16" t="s">
        <v>543</v>
      </c>
      <c r="Q62" s="24">
        <v>45392</v>
      </c>
      <c r="R62" s="16">
        <v>5</v>
      </c>
    </row>
    <row r="63" spans="1:18" ht="43.2" x14ac:dyDescent="0.3">
      <c r="A63" s="16" t="s">
        <v>155</v>
      </c>
      <c r="B63" s="17" t="s">
        <v>377</v>
      </c>
      <c r="C63" s="16" t="s">
        <v>23</v>
      </c>
      <c r="D63" s="16">
        <v>372382</v>
      </c>
      <c r="E63" s="16" t="s">
        <v>40</v>
      </c>
      <c r="F63" s="24">
        <v>45392</v>
      </c>
      <c r="G63" s="24" t="s">
        <v>242</v>
      </c>
      <c r="H63" s="17" t="s">
        <v>672</v>
      </c>
      <c r="I63" s="17" t="s">
        <v>673</v>
      </c>
      <c r="J63" s="19">
        <v>1.3888888888888888E-2</v>
      </c>
      <c r="K63" s="19">
        <v>3.125E-2</v>
      </c>
      <c r="L63" s="21">
        <f>CRF[[#This Row],[Time Spent on Configuration]]+CRF[[#This Row],[Time Spent on Review/Testing]]</f>
        <v>4.5138888888888888E-2</v>
      </c>
      <c r="N63" s="16" t="s">
        <v>28</v>
      </c>
      <c r="O63" s="16" t="s">
        <v>245</v>
      </c>
      <c r="P63" s="16" t="s">
        <v>543</v>
      </c>
      <c r="Q63" s="24">
        <v>45392</v>
      </c>
      <c r="R63" s="16">
        <v>5</v>
      </c>
    </row>
    <row r="64" spans="1:18" ht="409.6" x14ac:dyDescent="0.3">
      <c r="A64" s="16" t="s">
        <v>155</v>
      </c>
      <c r="B64" s="17" t="s">
        <v>649</v>
      </c>
      <c r="C64" s="16" t="s">
        <v>385</v>
      </c>
      <c r="D64" s="16">
        <v>372799</v>
      </c>
      <c r="E64" s="16" t="s">
        <v>24</v>
      </c>
      <c r="F64" s="24">
        <v>45394</v>
      </c>
      <c r="G64" s="24" t="s">
        <v>25</v>
      </c>
      <c r="H64" s="17" t="s">
        <v>674</v>
      </c>
      <c r="I64" s="17" t="s">
        <v>675</v>
      </c>
      <c r="J64" s="19">
        <v>2.0833333333333332E-2</v>
      </c>
      <c r="K64" s="19">
        <v>4.1666666666666664E-2</v>
      </c>
      <c r="L64" s="21">
        <f>CRF[[#This Row],[Time Spent on Configuration]]+CRF[[#This Row],[Time Spent on Review/Testing]]</f>
        <v>6.25E-2</v>
      </c>
      <c r="N64" s="16" t="s">
        <v>36</v>
      </c>
      <c r="O64" s="16" t="s">
        <v>29</v>
      </c>
      <c r="P64" s="16" t="s">
        <v>114</v>
      </c>
      <c r="Q64" s="24">
        <v>45394</v>
      </c>
      <c r="R64" s="16">
        <v>5</v>
      </c>
    </row>
    <row r="65" spans="1:18" ht="201.6" x14ac:dyDescent="0.3">
      <c r="A65" s="16" t="s">
        <v>155</v>
      </c>
      <c r="B65" s="17" t="s">
        <v>403</v>
      </c>
      <c r="C65" s="16" t="s">
        <v>404</v>
      </c>
      <c r="D65" s="16">
        <v>372906</v>
      </c>
      <c r="E65" s="16" t="s">
        <v>40</v>
      </c>
      <c r="F65" s="24">
        <v>45404</v>
      </c>
      <c r="G65" s="24" t="s">
        <v>242</v>
      </c>
      <c r="H65" s="17" t="s">
        <v>676</v>
      </c>
      <c r="I65" s="17" t="s">
        <v>677</v>
      </c>
      <c r="J65" s="19">
        <v>8.3333333333333329E-2</v>
      </c>
      <c r="K65" s="19">
        <v>0.1076388888888889</v>
      </c>
      <c r="L65" s="21">
        <f>CRF[[#This Row],[Time Spent on Configuration]]+CRF[[#This Row],[Time Spent on Review/Testing]]</f>
        <v>0.19097222222222221</v>
      </c>
      <c r="N65" s="16" t="s">
        <v>28</v>
      </c>
      <c r="O65" s="16" t="s">
        <v>245</v>
      </c>
      <c r="P65" s="24" t="s">
        <v>38</v>
      </c>
      <c r="Q65" s="24">
        <v>45404</v>
      </c>
      <c r="R65" s="16">
        <v>5</v>
      </c>
    </row>
    <row r="66" spans="1:18" ht="187.2" x14ac:dyDescent="0.3">
      <c r="A66" s="16" t="s">
        <v>155</v>
      </c>
      <c r="B66" s="17" t="s">
        <v>649</v>
      </c>
      <c r="C66" s="16" t="s">
        <v>385</v>
      </c>
      <c r="D66" s="16">
        <v>374138</v>
      </c>
      <c r="E66" s="16" t="s">
        <v>24</v>
      </c>
      <c r="F66" s="24">
        <v>45406</v>
      </c>
      <c r="G66" s="24" t="s">
        <v>81</v>
      </c>
      <c r="H66" s="17" t="s">
        <v>678</v>
      </c>
      <c r="I66" s="17" t="s">
        <v>679</v>
      </c>
      <c r="J66" s="19">
        <v>2.0833333333333332E-2</v>
      </c>
      <c r="K66" s="19">
        <v>4.1666666666666664E-2</v>
      </c>
      <c r="L66" s="21">
        <f>CRF[[#This Row],[Time Spent on Configuration]]+CRF[[#This Row],[Time Spent on Review/Testing]]</f>
        <v>6.25E-2</v>
      </c>
      <c r="N66" s="16" t="s">
        <v>29</v>
      </c>
      <c r="O66" s="16" t="s">
        <v>245</v>
      </c>
      <c r="P66" s="16" t="s">
        <v>114</v>
      </c>
      <c r="Q66" s="24">
        <v>45406</v>
      </c>
      <c r="R66" s="16">
        <v>5</v>
      </c>
    </row>
    <row r="67" spans="1:18" ht="72" x14ac:dyDescent="0.3">
      <c r="A67" s="16" t="s">
        <v>79</v>
      </c>
      <c r="B67" s="17" t="s">
        <v>572</v>
      </c>
      <c r="C67" s="16" t="s">
        <v>573</v>
      </c>
      <c r="D67" s="16">
        <v>375136</v>
      </c>
      <c r="E67" s="16" t="s">
        <v>40</v>
      </c>
      <c r="F67" s="24">
        <v>45414</v>
      </c>
      <c r="G67" s="24" t="s">
        <v>25</v>
      </c>
      <c r="H67" s="17" t="s">
        <v>680</v>
      </c>
      <c r="I67" s="17" t="s">
        <v>681</v>
      </c>
      <c r="J67" s="19">
        <v>2.0833333333333332E-2</v>
      </c>
      <c r="K67" s="19">
        <v>4.1666666666666664E-2</v>
      </c>
      <c r="L67" s="21">
        <f>CRF[[#This Row],[Time Spent on Configuration]]+CRF[[#This Row],[Time Spent on Review/Testing]]</f>
        <v>6.25E-2</v>
      </c>
      <c r="N67" s="16" t="s">
        <v>36</v>
      </c>
      <c r="O67" s="16" t="s">
        <v>29</v>
      </c>
      <c r="P67" s="16" t="s">
        <v>38</v>
      </c>
      <c r="Q67" s="24">
        <v>45414</v>
      </c>
      <c r="R67" s="16">
        <v>5</v>
      </c>
    </row>
    <row r="68" spans="1:18" ht="302.39999999999998" x14ac:dyDescent="0.3">
      <c r="A68" s="16" t="s">
        <v>79</v>
      </c>
      <c r="B68" s="17" t="s">
        <v>248</v>
      </c>
      <c r="C68" s="16" t="s">
        <v>23</v>
      </c>
      <c r="D68" s="16">
        <v>374761</v>
      </c>
      <c r="E68" s="16" t="s">
        <v>24</v>
      </c>
      <c r="F68" s="24">
        <v>45414</v>
      </c>
      <c r="G68" s="24" t="s">
        <v>242</v>
      </c>
      <c r="H68" s="26" t="s">
        <v>682</v>
      </c>
      <c r="I68" s="17" t="s">
        <v>683</v>
      </c>
      <c r="J68" s="19">
        <v>2.0833333333333332E-2</v>
      </c>
      <c r="K68" s="19">
        <v>3.8194444444444448E-2</v>
      </c>
      <c r="L68" s="21">
        <f>CRF[[#This Row],[Time Spent on Configuration]]+CRF[[#This Row],[Time Spent on Review/Testing]]</f>
        <v>5.9027777777777776E-2</v>
      </c>
      <c r="N68" s="16" t="s">
        <v>36</v>
      </c>
      <c r="O68" s="16" t="s">
        <v>29</v>
      </c>
      <c r="P68" s="16" t="s">
        <v>38</v>
      </c>
      <c r="Q68" s="24">
        <v>45415</v>
      </c>
      <c r="R68" s="16">
        <v>5</v>
      </c>
    </row>
    <row r="69" spans="1:18" ht="28.8" x14ac:dyDescent="0.3">
      <c r="A69" s="16" t="s">
        <v>79</v>
      </c>
      <c r="B69" s="17" t="s">
        <v>649</v>
      </c>
      <c r="C69" s="16" t="s">
        <v>385</v>
      </c>
      <c r="D69" s="16">
        <v>374759</v>
      </c>
      <c r="E69" s="16" t="s">
        <v>40</v>
      </c>
      <c r="F69" s="24">
        <v>45418</v>
      </c>
      <c r="G69" s="24" t="s">
        <v>684</v>
      </c>
      <c r="H69" s="17" t="s">
        <v>685</v>
      </c>
      <c r="I69" s="17" t="s">
        <v>686</v>
      </c>
      <c r="J69" s="19">
        <v>6.9444444444444441E-3</v>
      </c>
      <c r="K69" s="19">
        <v>1.7361111111111112E-2</v>
      </c>
      <c r="L69" s="21">
        <f>CRF[[#This Row],[Time Spent on Configuration]]+CRF[[#This Row],[Time Spent on Review/Testing]]</f>
        <v>2.4305555555555556E-2</v>
      </c>
      <c r="N69" s="16" t="s">
        <v>28</v>
      </c>
      <c r="O69" s="16" t="s">
        <v>29</v>
      </c>
      <c r="P69" s="16" t="s">
        <v>114</v>
      </c>
      <c r="Q69" s="24">
        <v>45418</v>
      </c>
      <c r="R69" s="16">
        <v>5</v>
      </c>
    </row>
    <row r="70" spans="1:18" ht="28.8" x14ac:dyDescent="0.3">
      <c r="A70" s="16" t="s">
        <v>79</v>
      </c>
      <c r="B70" s="17" t="s">
        <v>115</v>
      </c>
      <c r="C70" s="16" t="s">
        <v>116</v>
      </c>
      <c r="D70" s="16">
        <v>375949</v>
      </c>
      <c r="E70" s="16" t="s">
        <v>40</v>
      </c>
      <c r="F70" s="24">
        <v>45421</v>
      </c>
      <c r="G70" s="24" t="s">
        <v>242</v>
      </c>
      <c r="H70" s="17" t="s">
        <v>687</v>
      </c>
      <c r="I70" s="17" t="s">
        <v>688</v>
      </c>
      <c r="J70" s="19">
        <v>2.0833333333333332E-2</v>
      </c>
      <c r="K70" s="19">
        <v>5.5555555555555552E-2</v>
      </c>
      <c r="L70" s="21">
        <f>CRF[[#This Row],[Time Spent on Configuration]]+CRF[[#This Row],[Time Spent on Review/Testing]]</f>
        <v>7.6388888888888881E-2</v>
      </c>
      <c r="N70" s="16" t="s">
        <v>28</v>
      </c>
      <c r="O70" s="16" t="s">
        <v>245</v>
      </c>
      <c r="P70" s="16" t="s">
        <v>114</v>
      </c>
      <c r="Q70" s="24">
        <v>45421</v>
      </c>
      <c r="R70" s="16">
        <v>5</v>
      </c>
    </row>
    <row r="71" spans="1:18" ht="115.2" x14ac:dyDescent="0.3">
      <c r="A71" s="16" t="s">
        <v>79</v>
      </c>
      <c r="B71" s="17" t="s">
        <v>109</v>
      </c>
      <c r="C71" s="16" t="s">
        <v>338</v>
      </c>
      <c r="D71" s="16">
        <v>369325</v>
      </c>
      <c r="E71" s="16" t="s">
        <v>24</v>
      </c>
      <c r="F71" s="24">
        <v>45422</v>
      </c>
      <c r="G71" s="24" t="s">
        <v>25</v>
      </c>
      <c r="H71" s="17" t="s">
        <v>689</v>
      </c>
      <c r="I71" s="17" t="s">
        <v>690</v>
      </c>
      <c r="J71" s="19">
        <v>1.0416666666666666E-2</v>
      </c>
      <c r="K71" s="19">
        <v>4.8611111111111112E-2</v>
      </c>
      <c r="L71" s="21">
        <f>CRF[[#This Row],[Time Spent on Configuration]]+CRF[[#This Row],[Time Spent on Review/Testing]]</f>
        <v>5.9027777777777776E-2</v>
      </c>
      <c r="N71" s="16" t="s">
        <v>28</v>
      </c>
      <c r="O71" s="16" t="s">
        <v>245</v>
      </c>
      <c r="P71" s="16" t="s">
        <v>543</v>
      </c>
      <c r="Q71" s="24">
        <v>45422</v>
      </c>
      <c r="R71" s="16">
        <v>5</v>
      </c>
    </row>
    <row r="72" spans="1:18" ht="273.60000000000002" x14ac:dyDescent="0.3">
      <c r="A72" s="16" t="s">
        <v>79</v>
      </c>
      <c r="B72" s="17" t="s">
        <v>399</v>
      </c>
      <c r="C72" s="16" t="s">
        <v>400</v>
      </c>
      <c r="D72" s="16">
        <v>376482</v>
      </c>
      <c r="E72" s="16" t="s">
        <v>24</v>
      </c>
      <c r="F72" s="24">
        <v>45427</v>
      </c>
      <c r="G72" s="24" t="s">
        <v>81</v>
      </c>
      <c r="H72" s="17" t="s">
        <v>691</v>
      </c>
      <c r="I72" s="17" t="s">
        <v>692</v>
      </c>
      <c r="J72" s="19">
        <v>3.4722222222222224E-2</v>
      </c>
      <c r="K72" s="19">
        <v>7.0833333333333331E-2</v>
      </c>
      <c r="L72" s="21">
        <f>CRF[[#This Row],[Time Spent on Configuration]]+CRF[[#This Row],[Time Spent on Review/Testing]]</f>
        <v>0.10555555555555556</v>
      </c>
      <c r="N72" s="16" t="s">
        <v>29</v>
      </c>
      <c r="O72" s="16" t="s">
        <v>245</v>
      </c>
      <c r="P72" s="16" t="s">
        <v>693</v>
      </c>
      <c r="Q72" s="24">
        <v>45427</v>
      </c>
      <c r="R72" s="16">
        <v>5</v>
      </c>
    </row>
    <row r="73" spans="1:18" ht="201.6" x14ac:dyDescent="0.3">
      <c r="A73" s="16" t="s">
        <v>79</v>
      </c>
      <c r="B73" s="17" t="s">
        <v>248</v>
      </c>
      <c r="C73" s="16" t="s">
        <v>23</v>
      </c>
      <c r="D73" s="16">
        <v>377620</v>
      </c>
      <c r="E73" s="16" t="s">
        <v>40</v>
      </c>
      <c r="F73" s="24">
        <v>45434</v>
      </c>
      <c r="G73" s="24" t="s">
        <v>302</v>
      </c>
      <c r="H73" s="17" t="s">
        <v>694</v>
      </c>
      <c r="I73" s="17" t="s">
        <v>695</v>
      </c>
      <c r="J73" s="19">
        <v>1.3888888888888888E-2</v>
      </c>
      <c r="K73" s="19">
        <v>2.4305555555555556E-2</v>
      </c>
      <c r="L73" s="21">
        <f>CRF[[#This Row],[Time Spent on Configuration]]+CRF[[#This Row],[Time Spent on Review/Testing]]</f>
        <v>3.8194444444444448E-2</v>
      </c>
      <c r="N73" s="16" t="s">
        <v>28</v>
      </c>
      <c r="O73" s="16" t="s">
        <v>539</v>
      </c>
      <c r="P73" s="16" t="s">
        <v>38</v>
      </c>
      <c r="Q73" s="24">
        <v>45434</v>
      </c>
      <c r="R73" s="16">
        <v>5</v>
      </c>
    </row>
    <row r="74" spans="1:18" ht="86.4" x14ac:dyDescent="0.3">
      <c r="A74" s="16" t="s">
        <v>79</v>
      </c>
      <c r="B74" s="17" t="s">
        <v>123</v>
      </c>
      <c r="C74" s="16" t="s">
        <v>23</v>
      </c>
      <c r="D74" s="16">
        <v>374620</v>
      </c>
      <c r="E74" s="16" t="s">
        <v>203</v>
      </c>
      <c r="F74" s="24">
        <v>45435</v>
      </c>
      <c r="G74" s="24" t="s">
        <v>557</v>
      </c>
      <c r="H74" s="17" t="s">
        <v>696</v>
      </c>
      <c r="I74" s="17" t="s">
        <v>697</v>
      </c>
      <c r="J74" s="19">
        <v>0</v>
      </c>
      <c r="K74" s="19">
        <v>1.3888888888888888E-2</v>
      </c>
      <c r="L74" s="21">
        <f>CRF[[#This Row],[Time Spent on Configuration]]+CRF[[#This Row],[Time Spent on Review/Testing]]</f>
        <v>1.3888888888888888E-2</v>
      </c>
      <c r="N74" s="16" t="s">
        <v>698</v>
      </c>
      <c r="O74" s="16" t="s">
        <v>245</v>
      </c>
      <c r="P74" s="16" t="s">
        <v>114</v>
      </c>
      <c r="Q74" s="24">
        <v>45435</v>
      </c>
      <c r="R74" s="16">
        <v>5</v>
      </c>
    </row>
    <row r="75" spans="1:18" ht="201.6" x14ac:dyDescent="0.3">
      <c r="A75" s="16" t="s">
        <v>79</v>
      </c>
      <c r="B75" s="17" t="s">
        <v>264</v>
      </c>
      <c r="C75" s="16" t="s">
        <v>104</v>
      </c>
      <c r="D75" s="16">
        <v>378819</v>
      </c>
      <c r="E75" s="16" t="s">
        <v>203</v>
      </c>
      <c r="F75" s="24">
        <v>45437</v>
      </c>
      <c r="G75" s="24" t="s">
        <v>557</v>
      </c>
      <c r="H75" s="17" t="s">
        <v>699</v>
      </c>
      <c r="I75" s="17" t="s">
        <v>700</v>
      </c>
      <c r="J75" s="19">
        <v>2.0833333333333332E-2</v>
      </c>
      <c r="K75" s="19">
        <v>3.8194444444444448E-2</v>
      </c>
      <c r="L75" s="21">
        <f>CRF[[#This Row],[Time Spent on Configuration]]+CRF[[#This Row],[Time Spent on Review/Testing]]</f>
        <v>5.9027777777777776E-2</v>
      </c>
      <c r="N75" s="16" t="s">
        <v>36</v>
      </c>
      <c r="O75" s="16" t="s">
        <v>29</v>
      </c>
      <c r="P75" s="16" t="s">
        <v>693</v>
      </c>
      <c r="Q75" s="24">
        <v>45437</v>
      </c>
      <c r="R75" s="16">
        <v>5</v>
      </c>
    </row>
    <row r="76" spans="1:18" ht="57.6" x14ac:dyDescent="0.3">
      <c r="A76" s="16" t="s">
        <v>79</v>
      </c>
      <c r="B76" s="17" t="s">
        <v>115</v>
      </c>
      <c r="C76" s="16" t="s">
        <v>116</v>
      </c>
      <c r="D76" s="16">
        <v>377429</v>
      </c>
      <c r="E76" s="16" t="s">
        <v>40</v>
      </c>
      <c r="F76" s="24">
        <v>45443</v>
      </c>
      <c r="G76" s="24" t="s">
        <v>25</v>
      </c>
      <c r="H76" s="17" t="s">
        <v>701</v>
      </c>
      <c r="I76" s="17" t="s">
        <v>701</v>
      </c>
      <c r="J76" s="19">
        <v>4.9305555555555554E-2</v>
      </c>
      <c r="K76" s="19">
        <v>4.8611111111111112E-2</v>
      </c>
      <c r="L76" s="21">
        <f>CRF[[#This Row],[Time Spent on Configuration]]+CRF[[#This Row],[Time Spent on Review/Testing]]</f>
        <v>9.7916666666666666E-2</v>
      </c>
      <c r="N76" s="16" t="s">
        <v>603</v>
      </c>
      <c r="O76" s="16" t="s">
        <v>29</v>
      </c>
      <c r="P76" s="16" t="s">
        <v>114</v>
      </c>
      <c r="Q76" s="24">
        <v>45443</v>
      </c>
      <c r="R76" s="16">
        <v>5</v>
      </c>
    </row>
    <row r="77" spans="1:18" ht="72" x14ac:dyDescent="0.3">
      <c r="A77" s="16" t="s">
        <v>21</v>
      </c>
      <c r="B77" s="17" t="s">
        <v>93</v>
      </c>
      <c r="C77" s="16" t="s">
        <v>23</v>
      </c>
      <c r="D77" s="16">
        <v>381035</v>
      </c>
      <c r="E77" s="16" t="s">
        <v>40</v>
      </c>
      <c r="F77" s="24">
        <v>45451</v>
      </c>
      <c r="G77" s="24" t="s">
        <v>557</v>
      </c>
      <c r="H77" s="17" t="s">
        <v>702</v>
      </c>
      <c r="I77" s="17" t="s">
        <v>703</v>
      </c>
      <c r="J77" s="19">
        <v>3.125E-2</v>
      </c>
      <c r="K77" s="19">
        <v>4.5138888888888888E-2</v>
      </c>
      <c r="L77" s="21">
        <f>CRF[[#This Row],[Time Spent on Configuration]]+CRF[[#This Row],[Time Spent on Review/Testing]]</f>
        <v>7.6388888888888895E-2</v>
      </c>
      <c r="N77" s="16" t="s">
        <v>603</v>
      </c>
      <c r="O77" s="16" t="s">
        <v>29</v>
      </c>
      <c r="P77" s="16" t="s">
        <v>38</v>
      </c>
      <c r="Q77" s="24">
        <v>45451</v>
      </c>
      <c r="R77" s="16">
        <v>5</v>
      </c>
    </row>
    <row r="78" spans="1:18" ht="216" x14ac:dyDescent="0.3">
      <c r="A78" s="16" t="s">
        <v>21</v>
      </c>
      <c r="B78" s="17" t="s">
        <v>403</v>
      </c>
      <c r="C78" s="16" t="s">
        <v>404</v>
      </c>
      <c r="D78" s="16">
        <v>381022</v>
      </c>
      <c r="E78" s="16" t="s">
        <v>40</v>
      </c>
      <c r="F78" s="24">
        <v>45454</v>
      </c>
      <c r="G78" s="24" t="s">
        <v>81</v>
      </c>
      <c r="H78" s="17" t="s">
        <v>704</v>
      </c>
      <c r="I78" s="17" t="s">
        <v>705</v>
      </c>
      <c r="J78" s="19">
        <v>2.0833333333333332E-2</v>
      </c>
      <c r="K78" s="19">
        <v>3.125E-2</v>
      </c>
      <c r="L78" s="21">
        <f>CRF[[#This Row],[Time Spent on Configuration]]+CRF[[#This Row],[Time Spent on Review/Testing]]</f>
        <v>5.2083333333333329E-2</v>
      </c>
      <c r="N78" s="16" t="s">
        <v>36</v>
      </c>
      <c r="O78" s="16" t="s">
        <v>245</v>
      </c>
      <c r="P78" s="16" t="s">
        <v>38</v>
      </c>
      <c r="Q78" s="24">
        <v>45454</v>
      </c>
      <c r="R78" s="16">
        <v>5</v>
      </c>
    </row>
    <row r="79" spans="1:18" ht="201.6" x14ac:dyDescent="0.3">
      <c r="A79" s="16" t="s">
        <v>21</v>
      </c>
      <c r="B79" s="17" t="s">
        <v>584</v>
      </c>
      <c r="C79" s="16" t="s">
        <v>585</v>
      </c>
      <c r="D79" s="16">
        <v>381309</v>
      </c>
      <c r="E79" s="16" t="s">
        <v>40</v>
      </c>
      <c r="F79" s="24">
        <v>45454</v>
      </c>
      <c r="G79" s="24" t="s">
        <v>706</v>
      </c>
      <c r="H79" s="17" t="s">
        <v>707</v>
      </c>
      <c r="I79" s="17" t="s">
        <v>708</v>
      </c>
      <c r="J79" s="19">
        <v>2.0833333333333332E-2</v>
      </c>
      <c r="K79" s="19">
        <v>3.125E-2</v>
      </c>
      <c r="L79" s="21">
        <f>CRF[[#This Row],[Time Spent on Configuration]]+CRF[[#This Row],[Time Spent on Review/Testing]]</f>
        <v>5.2083333333333329E-2</v>
      </c>
      <c r="N79" s="16" t="s">
        <v>36</v>
      </c>
      <c r="O79" s="16" t="s">
        <v>245</v>
      </c>
      <c r="P79" s="16" t="s">
        <v>38</v>
      </c>
      <c r="Q79" s="24">
        <v>45454</v>
      </c>
      <c r="R79" s="16">
        <v>5</v>
      </c>
    </row>
    <row r="80" spans="1:18" ht="201.6" x14ac:dyDescent="0.3">
      <c r="A80" s="16" t="s">
        <v>21</v>
      </c>
      <c r="B80" s="17" t="s">
        <v>377</v>
      </c>
      <c r="C80" s="16" t="s">
        <v>23</v>
      </c>
      <c r="D80" s="16">
        <v>381426</v>
      </c>
      <c r="E80" s="16" t="s">
        <v>40</v>
      </c>
      <c r="F80" s="24">
        <v>45455</v>
      </c>
      <c r="G80" s="24" t="s">
        <v>25</v>
      </c>
      <c r="H80" s="17" t="s">
        <v>709</v>
      </c>
      <c r="I80" s="17" t="s">
        <v>710</v>
      </c>
      <c r="J80" s="19">
        <v>2.7777777777777776E-2</v>
      </c>
      <c r="K80" s="19">
        <v>7.0833333333333331E-2</v>
      </c>
      <c r="L80" s="21">
        <f>CRF[[#This Row],[Time Spent on Configuration]]+CRF[[#This Row],[Time Spent on Review/Testing]]</f>
        <v>9.8611111111111108E-2</v>
      </c>
      <c r="N80" s="16" t="s">
        <v>29</v>
      </c>
      <c r="O80" s="16" t="s">
        <v>245</v>
      </c>
      <c r="P80" s="16" t="s">
        <v>693</v>
      </c>
      <c r="Q80" s="24">
        <v>45456</v>
      </c>
      <c r="R80" s="16">
        <v>5</v>
      </c>
    </row>
    <row r="81" spans="1:18" ht="28.8" x14ac:dyDescent="0.3">
      <c r="A81" s="16" t="s">
        <v>21</v>
      </c>
      <c r="B81" s="17" t="s">
        <v>237</v>
      </c>
      <c r="C81" s="16" t="s">
        <v>23</v>
      </c>
      <c r="D81" s="16">
        <v>381358</v>
      </c>
      <c r="E81" s="16" t="s">
        <v>40</v>
      </c>
      <c r="F81" s="24">
        <v>45456</v>
      </c>
      <c r="G81" s="24" t="s">
        <v>25</v>
      </c>
      <c r="H81" s="17" t="s">
        <v>711</v>
      </c>
      <c r="I81" s="17" t="s">
        <v>712</v>
      </c>
      <c r="J81" s="19">
        <v>1.0416666666666666E-2</v>
      </c>
      <c r="K81" s="19">
        <v>4.1666666666666664E-2</v>
      </c>
      <c r="L81" s="21">
        <f>CRF[[#This Row],[Time Spent on Configuration]]+CRF[[#This Row],[Time Spent on Review/Testing]]</f>
        <v>5.2083333333333329E-2</v>
      </c>
      <c r="N81" s="16" t="s">
        <v>28</v>
      </c>
      <c r="O81" s="16" t="s">
        <v>29</v>
      </c>
      <c r="P81" s="16" t="s">
        <v>38</v>
      </c>
      <c r="Q81" s="24">
        <v>45456</v>
      </c>
      <c r="R81" s="16">
        <v>5</v>
      </c>
    </row>
    <row r="82" spans="1:18" ht="72" x14ac:dyDescent="0.3">
      <c r="A82" s="16" t="s">
        <v>21</v>
      </c>
      <c r="B82" s="17" t="s">
        <v>572</v>
      </c>
      <c r="C82" s="16" t="s">
        <v>573</v>
      </c>
      <c r="D82" s="16">
        <v>381467</v>
      </c>
      <c r="E82" s="16" t="s">
        <v>40</v>
      </c>
      <c r="F82" s="24">
        <v>45457</v>
      </c>
      <c r="G82" s="24" t="s">
        <v>25</v>
      </c>
      <c r="H82" s="17" t="s">
        <v>713</v>
      </c>
      <c r="I82" s="17" t="s">
        <v>714</v>
      </c>
      <c r="J82" s="19">
        <v>2.7777777777777776E-2</v>
      </c>
      <c r="K82" s="19">
        <v>4.583333333333333E-2</v>
      </c>
      <c r="L82" s="21">
        <f>CRF[[#This Row],[Time Spent on Configuration]]+CRF[[#This Row],[Time Spent on Review/Testing]]</f>
        <v>7.3611111111111099E-2</v>
      </c>
      <c r="N82" s="16" t="s">
        <v>29</v>
      </c>
      <c r="O82" s="16" t="s">
        <v>245</v>
      </c>
      <c r="P82" s="16" t="s">
        <v>38</v>
      </c>
      <c r="Q82" s="24">
        <v>45457</v>
      </c>
      <c r="R82" s="16">
        <v>5</v>
      </c>
    </row>
    <row r="83" spans="1:18" ht="259.2" x14ac:dyDescent="0.3">
      <c r="A83" s="16" t="s">
        <v>21</v>
      </c>
      <c r="B83" s="17" t="s">
        <v>123</v>
      </c>
      <c r="C83" s="16" t="s">
        <v>23</v>
      </c>
      <c r="D83" s="16">
        <v>363653</v>
      </c>
      <c r="E83" s="16" t="s">
        <v>40</v>
      </c>
      <c r="F83" s="24">
        <v>45460</v>
      </c>
      <c r="G83" s="24" t="s">
        <v>25</v>
      </c>
      <c r="H83" s="17" t="s">
        <v>715</v>
      </c>
      <c r="I83" s="17" t="s">
        <v>716</v>
      </c>
      <c r="J83" s="19">
        <v>6.25E-2</v>
      </c>
      <c r="K83" s="19">
        <v>3.4722222222222224E-2</v>
      </c>
      <c r="L83" s="21">
        <f>CRF[[#This Row],[Time Spent on Configuration]]+CRF[[#This Row],[Time Spent on Review/Testing]]</f>
        <v>9.7222222222222224E-2</v>
      </c>
      <c r="N83" s="16" t="s">
        <v>28</v>
      </c>
      <c r="O83" s="16" t="s">
        <v>29</v>
      </c>
      <c r="P83" s="16" t="s">
        <v>114</v>
      </c>
      <c r="Q83" s="24">
        <v>45462</v>
      </c>
      <c r="R83" s="16">
        <v>5</v>
      </c>
    </row>
    <row r="84" spans="1:18" ht="28.8" x14ac:dyDescent="0.3">
      <c r="A84" s="16" t="s">
        <v>21</v>
      </c>
      <c r="B84" s="17" t="s">
        <v>536</v>
      </c>
      <c r="C84" s="16" t="s">
        <v>23</v>
      </c>
      <c r="D84" s="16">
        <v>381622</v>
      </c>
      <c r="E84" s="16" t="s">
        <v>24</v>
      </c>
      <c r="F84" s="24">
        <v>45461</v>
      </c>
      <c r="G84" s="24" t="s">
        <v>557</v>
      </c>
      <c r="H84" s="17" t="s">
        <v>717</v>
      </c>
      <c r="I84" s="17" t="s">
        <v>718</v>
      </c>
      <c r="J84" s="19">
        <v>1.3888888888888888E-2</v>
      </c>
      <c r="K84" s="19">
        <v>2.5694444444444443E-2</v>
      </c>
      <c r="L84" s="21">
        <f>CRF[[#This Row],[Time Spent on Configuration]]+CRF[[#This Row],[Time Spent on Review/Testing]]</f>
        <v>3.9583333333333331E-2</v>
      </c>
      <c r="N84" s="16" t="s">
        <v>29</v>
      </c>
      <c r="O84" s="16" t="s">
        <v>245</v>
      </c>
      <c r="P84" s="16" t="s">
        <v>114</v>
      </c>
      <c r="Q84" s="24">
        <v>45461</v>
      </c>
      <c r="R84" s="16">
        <v>5</v>
      </c>
    </row>
    <row r="85" spans="1:18" ht="43.2" x14ac:dyDescent="0.3">
      <c r="A85" s="16" t="s">
        <v>21</v>
      </c>
      <c r="B85" s="17" t="s">
        <v>123</v>
      </c>
      <c r="C85" s="16" t="s">
        <v>23</v>
      </c>
      <c r="D85" s="16">
        <v>382536</v>
      </c>
      <c r="E85" s="16" t="s">
        <v>24</v>
      </c>
      <c r="F85" s="24">
        <v>45471</v>
      </c>
      <c r="G85" s="24" t="s">
        <v>557</v>
      </c>
      <c r="H85" s="17" t="s">
        <v>719</v>
      </c>
      <c r="I85" s="17" t="s">
        <v>720</v>
      </c>
      <c r="J85" s="19">
        <v>1.0416666666666666E-2</v>
      </c>
      <c r="K85" s="19">
        <v>2.7777777777777776E-2</v>
      </c>
      <c r="L85" s="21">
        <f>CRF[[#This Row],[Time Spent on Configuration]]+CRF[[#This Row],[Time Spent on Review/Testing]]</f>
        <v>3.8194444444444441E-2</v>
      </c>
      <c r="N85" s="16" t="s">
        <v>245</v>
      </c>
      <c r="O85" s="16" t="s">
        <v>29</v>
      </c>
      <c r="P85" s="16" t="s">
        <v>114</v>
      </c>
      <c r="Q85" s="24">
        <v>45471</v>
      </c>
      <c r="R85" s="16">
        <v>5</v>
      </c>
    </row>
    <row r="86" spans="1:18" ht="49.5" customHeight="1" x14ac:dyDescent="0.3">
      <c r="A86" s="16" t="s">
        <v>21</v>
      </c>
      <c r="B86" s="17" t="s">
        <v>649</v>
      </c>
      <c r="C86" s="16" t="s">
        <v>385</v>
      </c>
      <c r="D86" s="16">
        <v>383359</v>
      </c>
      <c r="E86" s="16" t="s">
        <v>24</v>
      </c>
      <c r="F86" s="24">
        <v>45476</v>
      </c>
      <c r="G86" s="24" t="s">
        <v>302</v>
      </c>
      <c r="H86" s="17" t="s">
        <v>721</v>
      </c>
      <c r="I86" s="17" t="s">
        <v>722</v>
      </c>
      <c r="J86" s="19">
        <v>1.3888888888888888E-2</v>
      </c>
      <c r="K86" s="19">
        <v>4.8611111111111112E-2</v>
      </c>
      <c r="L86" s="21">
        <f>CRF[[#This Row],[Time Spent on Configuration]]+CRF[[#This Row],[Time Spent on Review/Testing]]</f>
        <v>6.25E-2</v>
      </c>
      <c r="N86" s="16" t="s">
        <v>29</v>
      </c>
      <c r="O86" s="16" t="s">
        <v>245</v>
      </c>
      <c r="P86" s="16" t="s">
        <v>114</v>
      </c>
      <c r="Q86" s="24">
        <v>45476</v>
      </c>
      <c r="R86" s="16">
        <v>5</v>
      </c>
    </row>
    <row r="87" spans="1:18" ht="43.2" x14ac:dyDescent="0.3">
      <c r="A87" s="16" t="s">
        <v>99</v>
      </c>
      <c r="B87" s="17" t="s">
        <v>649</v>
      </c>
      <c r="C87" s="16" t="s">
        <v>385</v>
      </c>
      <c r="D87" s="16">
        <v>384238</v>
      </c>
      <c r="E87" s="16" t="s">
        <v>40</v>
      </c>
      <c r="F87" s="24">
        <v>45483</v>
      </c>
      <c r="G87" s="24" t="s">
        <v>277</v>
      </c>
      <c r="H87" s="17" t="s">
        <v>723</v>
      </c>
      <c r="I87" s="17" t="s">
        <v>723</v>
      </c>
      <c r="J87" s="19">
        <v>6.25E-2</v>
      </c>
      <c r="K87" s="19">
        <v>2.7777777777777776E-2</v>
      </c>
      <c r="L87" s="21">
        <f>CRF[[#This Row],[Time Spent on Configuration]]+CRF[[#This Row],[Time Spent on Review/Testing]]</f>
        <v>9.0277777777777776E-2</v>
      </c>
      <c r="N87" s="16" t="s">
        <v>28</v>
      </c>
      <c r="O87" s="16" t="s">
        <v>29</v>
      </c>
      <c r="P87" s="16" t="s">
        <v>114</v>
      </c>
      <c r="Q87" s="24">
        <v>45483</v>
      </c>
      <c r="R87" s="16">
        <v>5</v>
      </c>
    </row>
    <row r="88" spans="1:18" ht="388.8" x14ac:dyDescent="0.3">
      <c r="A88" s="16" t="s">
        <v>99</v>
      </c>
      <c r="B88" s="17" t="s">
        <v>403</v>
      </c>
      <c r="C88" s="16" t="s">
        <v>404</v>
      </c>
      <c r="D88" s="16">
        <v>383548</v>
      </c>
      <c r="E88" s="16" t="s">
        <v>40</v>
      </c>
      <c r="F88" s="24">
        <v>45483</v>
      </c>
      <c r="G88" s="24" t="s">
        <v>242</v>
      </c>
      <c r="H88" s="17" t="s">
        <v>724</v>
      </c>
      <c r="I88" s="17" t="s">
        <v>724</v>
      </c>
      <c r="J88" s="19">
        <v>6.25E-2</v>
      </c>
      <c r="K88" s="19">
        <v>5.9027777777777776E-2</v>
      </c>
      <c r="L88" s="21">
        <f>CRF[[#This Row],[Time Spent on Configuration]]+CRF[[#This Row],[Time Spent on Review/Testing]]</f>
        <v>0.12152777777777778</v>
      </c>
      <c r="N88" s="16" t="s">
        <v>28</v>
      </c>
      <c r="O88" s="16" t="s">
        <v>245</v>
      </c>
      <c r="P88" s="16" t="s">
        <v>38</v>
      </c>
      <c r="Q88" s="24">
        <v>45483</v>
      </c>
      <c r="R88" s="16">
        <v>5</v>
      </c>
    </row>
    <row r="89" spans="1:18" ht="115.2" x14ac:dyDescent="0.3">
      <c r="A89" s="16" t="s">
        <v>99</v>
      </c>
      <c r="B89" s="17" t="s">
        <v>417</v>
      </c>
      <c r="C89" s="16" t="s">
        <v>418</v>
      </c>
      <c r="D89" s="16">
        <v>384416</v>
      </c>
      <c r="E89" s="16" t="s">
        <v>24</v>
      </c>
      <c r="F89" s="24">
        <v>45485</v>
      </c>
      <c r="G89" s="24" t="s">
        <v>242</v>
      </c>
      <c r="H89" s="27" t="s">
        <v>725</v>
      </c>
      <c r="I89" s="27" t="s">
        <v>725</v>
      </c>
      <c r="J89" s="19">
        <v>2.4305555555555556E-2</v>
      </c>
      <c r="K89" s="19">
        <v>4.5138888888888888E-2</v>
      </c>
      <c r="L89" s="21">
        <f>CRF[[#This Row],[Time Spent on Configuration]]+CRF[[#This Row],[Time Spent on Review/Testing]]</f>
        <v>6.9444444444444448E-2</v>
      </c>
      <c r="N89" s="16" t="s">
        <v>28</v>
      </c>
      <c r="O89" s="16" t="s">
        <v>29</v>
      </c>
      <c r="P89" s="16" t="s">
        <v>114</v>
      </c>
      <c r="Q89" s="24">
        <v>45485</v>
      </c>
      <c r="R89" s="16">
        <v>5</v>
      </c>
    </row>
    <row r="90" spans="1:18" ht="57.6" x14ac:dyDescent="0.3">
      <c r="A90" s="16" t="s">
        <v>99</v>
      </c>
      <c r="B90" s="17" t="s">
        <v>22</v>
      </c>
      <c r="C90" s="16" t="s">
        <v>23</v>
      </c>
      <c r="D90" s="16">
        <v>383619</v>
      </c>
      <c r="E90" s="16" t="s">
        <v>24</v>
      </c>
      <c r="F90" s="24">
        <v>45485</v>
      </c>
      <c r="G90" s="24" t="s">
        <v>242</v>
      </c>
      <c r="H90" s="17" t="s">
        <v>726</v>
      </c>
      <c r="I90" s="17" t="s">
        <v>726</v>
      </c>
      <c r="J90" s="19">
        <v>2.4305555555555556E-2</v>
      </c>
      <c r="K90" s="19">
        <v>2.7777777777777776E-2</v>
      </c>
      <c r="L90" s="21">
        <f>CRF[[#This Row],[Time Spent on Configuration]]+CRF[[#This Row],[Time Spent on Review/Testing]]</f>
        <v>5.2083333333333329E-2</v>
      </c>
      <c r="N90" s="16" t="s">
        <v>28</v>
      </c>
      <c r="O90" s="16" t="s">
        <v>29</v>
      </c>
      <c r="P90" s="16" t="s">
        <v>288</v>
      </c>
      <c r="Q90" s="24">
        <v>45485</v>
      </c>
      <c r="R90" s="16">
        <v>5</v>
      </c>
    </row>
    <row r="91" spans="1:18" ht="43.2" x14ac:dyDescent="0.3">
      <c r="A91" s="16" t="s">
        <v>99</v>
      </c>
      <c r="B91" s="17" t="s">
        <v>377</v>
      </c>
      <c r="C91" s="16" t="s">
        <v>23</v>
      </c>
      <c r="D91" s="16">
        <v>385105</v>
      </c>
      <c r="E91" s="16" t="s">
        <v>24</v>
      </c>
      <c r="F91" s="24">
        <v>45490</v>
      </c>
      <c r="G91" s="24" t="s">
        <v>242</v>
      </c>
      <c r="H91" s="17" t="s">
        <v>727</v>
      </c>
      <c r="I91" s="17" t="s">
        <v>728</v>
      </c>
      <c r="J91" s="19">
        <v>2.0833333333333332E-2</v>
      </c>
      <c r="K91" s="19">
        <v>2.7777777777777776E-2</v>
      </c>
      <c r="L91" s="21">
        <f>CRF[[#This Row],[Time Spent on Configuration]]+CRF[[#This Row],[Time Spent on Review/Testing]]</f>
        <v>4.8611111111111105E-2</v>
      </c>
      <c r="N91" s="16" t="s">
        <v>28</v>
      </c>
      <c r="O91" s="16" t="s">
        <v>29</v>
      </c>
      <c r="P91" s="16" t="s">
        <v>38</v>
      </c>
      <c r="Q91" s="24">
        <v>45490</v>
      </c>
      <c r="R91" s="16">
        <v>5</v>
      </c>
    </row>
    <row r="92" spans="1:18" ht="86.4" x14ac:dyDescent="0.3">
      <c r="A92" s="16" t="s">
        <v>99</v>
      </c>
      <c r="B92" s="17" t="s">
        <v>93</v>
      </c>
      <c r="C92" s="16" t="s">
        <v>23</v>
      </c>
      <c r="D92" s="16">
        <v>383034</v>
      </c>
      <c r="E92" s="16" t="s">
        <v>24</v>
      </c>
      <c r="F92" s="24">
        <v>45490</v>
      </c>
      <c r="G92" s="24" t="s">
        <v>25</v>
      </c>
      <c r="H92" s="17" t="s">
        <v>729</v>
      </c>
      <c r="I92" s="17" t="s">
        <v>730</v>
      </c>
      <c r="J92" s="19">
        <v>3.125E-2</v>
      </c>
      <c r="K92" s="19">
        <v>4.1666666666666664E-2</v>
      </c>
      <c r="L92" s="21">
        <f>CRF[[#This Row],[Time Spent on Configuration]]+CRF[[#This Row],[Time Spent on Review/Testing]]</f>
        <v>7.2916666666666657E-2</v>
      </c>
      <c r="N92" s="16" t="s">
        <v>28</v>
      </c>
      <c r="O92" s="16" t="s">
        <v>29</v>
      </c>
      <c r="P92" s="16" t="s">
        <v>38</v>
      </c>
      <c r="Q92" s="24">
        <v>45490</v>
      </c>
      <c r="R92" s="16">
        <v>5</v>
      </c>
    </row>
    <row r="93" spans="1:18" ht="43.2" x14ac:dyDescent="0.3">
      <c r="A93" s="16" t="s">
        <v>99</v>
      </c>
      <c r="B93" s="17" t="s">
        <v>22</v>
      </c>
      <c r="C93" s="16" t="s">
        <v>23</v>
      </c>
      <c r="D93" s="16">
        <v>383719</v>
      </c>
      <c r="E93" s="16" t="s">
        <v>24</v>
      </c>
      <c r="F93" s="24">
        <v>45485</v>
      </c>
      <c r="G93" s="24" t="s">
        <v>242</v>
      </c>
      <c r="H93" s="17" t="s">
        <v>731</v>
      </c>
      <c r="I93" s="17" t="s">
        <v>732</v>
      </c>
      <c r="J93" s="19">
        <v>2.4305555555555556E-2</v>
      </c>
      <c r="K93" s="19">
        <v>5.2083333333333336E-2</v>
      </c>
      <c r="L93" s="21">
        <f>CRF[[#This Row],[Time Spent on Configuration]]+CRF[[#This Row],[Time Spent on Review/Testing]]</f>
        <v>7.6388888888888895E-2</v>
      </c>
      <c r="N93" s="16" t="s">
        <v>28</v>
      </c>
      <c r="O93" s="16" t="s">
        <v>245</v>
      </c>
      <c r="P93" s="16" t="s">
        <v>288</v>
      </c>
      <c r="Q93" s="24">
        <v>45491</v>
      </c>
      <c r="R93" s="16">
        <v>5</v>
      </c>
    </row>
    <row r="94" spans="1:18" ht="43.2" x14ac:dyDescent="0.3">
      <c r="A94" s="16" t="s">
        <v>99</v>
      </c>
      <c r="B94" s="17" t="s">
        <v>217</v>
      </c>
      <c r="C94" s="16" t="s">
        <v>23</v>
      </c>
      <c r="D94" s="16">
        <v>376600</v>
      </c>
      <c r="E94" s="16" t="s">
        <v>24</v>
      </c>
      <c r="F94" s="24">
        <v>45497</v>
      </c>
      <c r="G94" s="24" t="s">
        <v>557</v>
      </c>
      <c r="H94" s="17" t="s">
        <v>733</v>
      </c>
      <c r="I94" s="17" t="s">
        <v>734</v>
      </c>
      <c r="J94" s="19">
        <v>2.0833333333333332E-2</v>
      </c>
      <c r="K94" s="19">
        <v>4.5138888888888888E-2</v>
      </c>
      <c r="L94" s="21">
        <f>CRF[[#This Row],[Time Spent on Configuration]]+CRF[[#This Row],[Time Spent on Review/Testing]]</f>
        <v>6.5972222222222224E-2</v>
      </c>
      <c r="N94" s="16" t="s">
        <v>29</v>
      </c>
      <c r="O94" s="16" t="s">
        <v>245</v>
      </c>
      <c r="P94" s="16" t="s">
        <v>114</v>
      </c>
      <c r="Q94" s="24">
        <v>45497</v>
      </c>
      <c r="R94" s="16">
        <v>5</v>
      </c>
    </row>
    <row r="95" spans="1:18" ht="216" x14ac:dyDescent="0.3">
      <c r="A95" s="16" t="s">
        <v>99</v>
      </c>
      <c r="B95" s="17" t="s">
        <v>165</v>
      </c>
      <c r="C95" s="16" t="s">
        <v>166</v>
      </c>
      <c r="D95" s="16">
        <v>385371</v>
      </c>
      <c r="E95" s="16" t="s">
        <v>40</v>
      </c>
      <c r="F95" s="24">
        <v>45497</v>
      </c>
      <c r="G95" s="24" t="s">
        <v>242</v>
      </c>
      <c r="H95" s="17" t="s">
        <v>735</v>
      </c>
      <c r="I95" s="17" t="s">
        <v>736</v>
      </c>
      <c r="J95" s="19">
        <v>2.0833333333333332E-2</v>
      </c>
      <c r="K95" s="19"/>
      <c r="L95" s="21">
        <f>CRF[[#This Row],[Time Spent on Configuration]]+CRF[[#This Row],[Time Spent on Review/Testing]]</f>
        <v>2.0833333333333332E-2</v>
      </c>
      <c r="N95" s="16" t="s">
        <v>28</v>
      </c>
      <c r="P95" s="16" t="s">
        <v>291</v>
      </c>
      <c r="Q95" s="24">
        <v>45497</v>
      </c>
      <c r="R95" s="16">
        <v>5</v>
      </c>
    </row>
    <row r="96" spans="1:18" ht="187.2" x14ac:dyDescent="0.3">
      <c r="A96" s="16" t="s">
        <v>99</v>
      </c>
      <c r="B96" s="17" t="s">
        <v>403</v>
      </c>
      <c r="C96" s="16" t="s">
        <v>404</v>
      </c>
      <c r="D96" s="16">
        <v>385254</v>
      </c>
      <c r="E96" s="16" t="s">
        <v>40</v>
      </c>
      <c r="F96" s="24">
        <v>45497</v>
      </c>
      <c r="G96" s="24" t="s">
        <v>231</v>
      </c>
      <c r="H96" s="17" t="s">
        <v>737</v>
      </c>
      <c r="I96" s="17" t="s">
        <v>738</v>
      </c>
      <c r="J96" s="19">
        <v>4.1666666666666664E-2</v>
      </c>
      <c r="K96" s="19">
        <v>2.0833333333333332E-2</v>
      </c>
      <c r="L96" s="21">
        <f>CRF[[#This Row],[Time Spent on Configuration]]+CRF[[#This Row],[Time Spent on Review/Testing]]</f>
        <v>6.25E-2</v>
      </c>
      <c r="N96" s="16" t="s">
        <v>28</v>
      </c>
      <c r="O96" s="16" t="s">
        <v>29</v>
      </c>
      <c r="P96" s="16" t="s">
        <v>38</v>
      </c>
      <c r="Q96" s="24">
        <v>45497</v>
      </c>
      <c r="R96" s="16">
        <v>5</v>
      </c>
    </row>
    <row r="97" spans="1:18" ht="121.8" x14ac:dyDescent="0.3">
      <c r="A97" s="16" t="s">
        <v>99</v>
      </c>
      <c r="B97" s="17" t="s">
        <v>584</v>
      </c>
      <c r="C97" s="16" t="s">
        <v>585</v>
      </c>
      <c r="D97" s="16">
        <v>381517</v>
      </c>
      <c r="E97" s="16" t="s">
        <v>24</v>
      </c>
      <c r="F97" s="24">
        <v>45503</v>
      </c>
      <c r="G97" s="24" t="s">
        <v>25</v>
      </c>
      <c r="H97" s="17" t="s">
        <v>739</v>
      </c>
      <c r="I97" s="28" t="s">
        <v>740</v>
      </c>
      <c r="J97" s="19">
        <v>2.0833333333333332E-2</v>
      </c>
      <c r="K97" s="19">
        <v>2.7777777777777776E-2</v>
      </c>
      <c r="L97" s="21">
        <f>CRF[[#This Row],[Time Spent on Configuration]]+CRF[[#This Row],[Time Spent on Review/Testing]]</f>
        <v>4.8611111111111105E-2</v>
      </c>
      <c r="N97" s="16" t="s">
        <v>36</v>
      </c>
      <c r="O97" s="16" t="s">
        <v>29</v>
      </c>
      <c r="P97" s="16" t="s">
        <v>38</v>
      </c>
      <c r="Q97" s="24">
        <v>45503</v>
      </c>
      <c r="R97" s="16">
        <v>5</v>
      </c>
    </row>
    <row r="98" spans="1:18" ht="216" x14ac:dyDescent="0.3">
      <c r="A98" s="16" t="s">
        <v>216</v>
      </c>
      <c r="B98" s="17" t="s">
        <v>50</v>
      </c>
      <c r="C98" s="16" t="s">
        <v>23</v>
      </c>
      <c r="D98" s="16">
        <v>385767</v>
      </c>
      <c r="E98" s="16" t="s">
        <v>24</v>
      </c>
      <c r="F98" s="24">
        <v>45505</v>
      </c>
      <c r="G98" s="24" t="s">
        <v>242</v>
      </c>
      <c r="H98" s="17" t="s">
        <v>741</v>
      </c>
      <c r="I98" s="17" t="s">
        <v>742</v>
      </c>
      <c r="J98" s="19">
        <v>3.4722222222222224E-2</v>
      </c>
      <c r="K98" s="19">
        <v>5.9027777777777776E-2</v>
      </c>
      <c r="L98" s="21">
        <f>CRF[[#This Row],[Time Spent on Configuration]]+CRF[[#This Row],[Time Spent on Review/Testing]]</f>
        <v>9.375E-2</v>
      </c>
      <c r="N98" s="16" t="s">
        <v>28</v>
      </c>
      <c r="O98" s="16" t="s">
        <v>245</v>
      </c>
      <c r="P98" s="16" t="s">
        <v>114</v>
      </c>
      <c r="Q98" s="24">
        <v>45505</v>
      </c>
      <c r="R98" s="16">
        <v>5</v>
      </c>
    </row>
    <row r="99" spans="1:18" ht="28.8" x14ac:dyDescent="0.3">
      <c r="A99" s="16" t="s">
        <v>216</v>
      </c>
      <c r="B99" s="17" t="s">
        <v>666</v>
      </c>
      <c r="C99" s="16" t="s">
        <v>743</v>
      </c>
      <c r="D99" s="16">
        <v>386992</v>
      </c>
      <c r="E99" s="16" t="s">
        <v>24</v>
      </c>
      <c r="F99" s="24">
        <v>45507</v>
      </c>
      <c r="G99" s="24" t="s">
        <v>557</v>
      </c>
      <c r="H99" s="17" t="s">
        <v>744</v>
      </c>
      <c r="I99" s="17" t="s">
        <v>745</v>
      </c>
      <c r="J99" s="19">
        <v>3.4722222222222224E-2</v>
      </c>
      <c r="K99" s="19">
        <v>3.125E-2</v>
      </c>
      <c r="L99" s="21">
        <f>CRF[[#This Row],[Time Spent on Configuration]]+CRF[[#This Row],[Time Spent on Review/Testing]]</f>
        <v>6.5972222222222224E-2</v>
      </c>
      <c r="N99" s="16" t="s">
        <v>28</v>
      </c>
      <c r="O99" s="16" t="s">
        <v>245</v>
      </c>
      <c r="P99" s="16" t="s">
        <v>114</v>
      </c>
      <c r="Q99" s="24">
        <v>45507</v>
      </c>
      <c r="R99" s="16">
        <v>5</v>
      </c>
    </row>
    <row r="100" spans="1:18" ht="43.2" x14ac:dyDescent="0.3">
      <c r="A100" s="16" t="s">
        <v>216</v>
      </c>
      <c r="B100" s="17" t="s">
        <v>666</v>
      </c>
      <c r="C100" s="16" t="s">
        <v>743</v>
      </c>
      <c r="D100" s="16">
        <v>386985</v>
      </c>
      <c r="E100" s="16" t="s">
        <v>40</v>
      </c>
      <c r="F100" s="24">
        <v>45507</v>
      </c>
      <c r="G100" s="24" t="s">
        <v>81</v>
      </c>
      <c r="H100" s="17" t="s">
        <v>746</v>
      </c>
      <c r="I100" s="17" t="s">
        <v>747</v>
      </c>
      <c r="J100" s="19">
        <v>3.4722222222222224E-2</v>
      </c>
      <c r="K100" s="19">
        <v>2.7777777777777776E-2</v>
      </c>
      <c r="L100" s="21">
        <f>CRF[[#This Row],[Time Spent on Configuration]]+CRF[[#This Row],[Time Spent on Review/Testing]]</f>
        <v>6.25E-2</v>
      </c>
      <c r="N100" s="16" t="s">
        <v>28</v>
      </c>
      <c r="O100" s="16" t="s">
        <v>245</v>
      </c>
      <c r="P100" s="16" t="s">
        <v>114</v>
      </c>
      <c r="Q100" s="24">
        <v>45507</v>
      </c>
      <c r="R100" s="16">
        <v>5</v>
      </c>
    </row>
    <row r="101" spans="1:18" ht="92.25" customHeight="1" x14ac:dyDescent="0.3">
      <c r="A101" s="16" t="s">
        <v>216</v>
      </c>
      <c r="B101" s="17" t="s">
        <v>22</v>
      </c>
      <c r="C101" s="16" t="s">
        <v>23</v>
      </c>
      <c r="D101" s="16">
        <v>386964</v>
      </c>
      <c r="E101" s="16" t="s">
        <v>40</v>
      </c>
      <c r="F101" s="24">
        <v>45510</v>
      </c>
      <c r="G101" s="24" t="s">
        <v>25</v>
      </c>
      <c r="H101" s="17" t="s">
        <v>748</v>
      </c>
      <c r="I101" s="17" t="s">
        <v>749</v>
      </c>
      <c r="J101" s="19">
        <v>3.125E-2</v>
      </c>
      <c r="K101" s="19">
        <v>6.5972222222222224E-2</v>
      </c>
      <c r="L101" s="21">
        <f>CRF[[#This Row],[Time Spent on Configuration]]+CRF[[#This Row],[Time Spent on Review/Testing]]</f>
        <v>9.7222222222222224E-2</v>
      </c>
      <c r="N101" s="16" t="s">
        <v>245</v>
      </c>
      <c r="O101" s="16" t="s">
        <v>29</v>
      </c>
      <c r="P101" s="16" t="s">
        <v>374</v>
      </c>
      <c r="Q101" s="24">
        <v>45510</v>
      </c>
      <c r="R101" s="16">
        <v>5</v>
      </c>
    </row>
    <row r="102" spans="1:18" ht="100.8" x14ac:dyDescent="0.3">
      <c r="A102" s="16" t="s">
        <v>216</v>
      </c>
      <c r="B102" s="17" t="s">
        <v>66</v>
      </c>
      <c r="C102" s="16" t="s">
        <v>402</v>
      </c>
      <c r="D102" s="16">
        <v>387374</v>
      </c>
      <c r="E102" s="16" t="s">
        <v>40</v>
      </c>
      <c r="F102" s="24">
        <v>45511</v>
      </c>
      <c r="G102" s="24" t="s">
        <v>750</v>
      </c>
      <c r="H102" s="17" t="s">
        <v>751</v>
      </c>
      <c r="I102" s="17" t="s">
        <v>752</v>
      </c>
      <c r="J102" s="19">
        <v>2.0833333333333332E-2</v>
      </c>
      <c r="K102" s="19">
        <v>2.7777777777777776E-2</v>
      </c>
      <c r="L102" s="21">
        <f>CRF[[#This Row],[Time Spent on Configuration]]+CRF[[#This Row],[Time Spent on Review/Testing]]</f>
        <v>4.8611111111111105E-2</v>
      </c>
      <c r="N102" s="16" t="s">
        <v>28</v>
      </c>
      <c r="O102" s="16" t="s">
        <v>29</v>
      </c>
      <c r="P102" s="16" t="s">
        <v>38</v>
      </c>
      <c r="Q102" s="24">
        <v>45511</v>
      </c>
      <c r="R102" s="16">
        <v>5</v>
      </c>
    </row>
    <row r="103" spans="1:18" ht="403.2" x14ac:dyDescent="0.3">
      <c r="A103" s="16" t="s">
        <v>216</v>
      </c>
      <c r="B103" s="17" t="s">
        <v>93</v>
      </c>
      <c r="C103" s="16" t="s">
        <v>23</v>
      </c>
      <c r="D103" s="16">
        <v>386144</v>
      </c>
      <c r="E103" s="16" t="s">
        <v>40</v>
      </c>
      <c r="F103" s="23">
        <v>45511</v>
      </c>
      <c r="G103" s="16" t="s">
        <v>302</v>
      </c>
      <c r="H103" s="22" t="s">
        <v>753</v>
      </c>
      <c r="I103" s="17" t="s">
        <v>754</v>
      </c>
      <c r="J103" s="20">
        <v>1.3888888888888888E-2</v>
      </c>
      <c r="L103" s="19">
        <v>1.3888888888888888E-2</v>
      </c>
      <c r="N103" s="16" t="s">
        <v>29</v>
      </c>
      <c r="O103" s="16" t="s">
        <v>245</v>
      </c>
      <c r="P103" s="16" t="s">
        <v>38</v>
      </c>
      <c r="Q103" s="23">
        <v>45511</v>
      </c>
      <c r="R103" s="16">
        <v>5</v>
      </c>
    </row>
    <row r="104" spans="1:18" ht="86.4" x14ac:dyDescent="0.3">
      <c r="A104" s="17" t="s">
        <v>216</v>
      </c>
      <c r="B104" s="17" t="s">
        <v>755</v>
      </c>
      <c r="C104" s="16" t="s">
        <v>23</v>
      </c>
      <c r="D104" s="16">
        <v>387504</v>
      </c>
      <c r="E104" s="16" t="s">
        <v>24</v>
      </c>
      <c r="F104" s="24">
        <v>45512</v>
      </c>
      <c r="G104" s="16" t="s">
        <v>302</v>
      </c>
      <c r="H104" s="17" t="s">
        <v>756</v>
      </c>
      <c r="I104" s="17" t="s">
        <v>757</v>
      </c>
      <c r="J104" s="19">
        <v>1.0416666666666666E-2</v>
      </c>
      <c r="K104" s="19">
        <v>4.8611111111111112E-2</v>
      </c>
      <c r="L104" s="21">
        <f>CRF[[#This Row],[Time Spent on Configuration]]+CRF[[#This Row],[Time Spent on Review/Testing]]</f>
        <v>5.9027777777777776E-2</v>
      </c>
      <c r="N104" s="16" t="s">
        <v>245</v>
      </c>
      <c r="O104" s="16" t="s">
        <v>29</v>
      </c>
      <c r="P104" s="16" t="s">
        <v>38</v>
      </c>
      <c r="Q104" s="24">
        <v>45512</v>
      </c>
      <c r="R104" s="16">
        <v>5</v>
      </c>
    </row>
    <row r="105" spans="1:18" ht="72" x14ac:dyDescent="0.3">
      <c r="A105" s="16" t="s">
        <v>216</v>
      </c>
      <c r="B105" s="17" t="s">
        <v>403</v>
      </c>
      <c r="C105" s="16" t="s">
        <v>404</v>
      </c>
      <c r="D105" s="16">
        <v>387825</v>
      </c>
      <c r="E105" s="16" t="s">
        <v>24</v>
      </c>
      <c r="F105" s="24">
        <v>45518</v>
      </c>
      <c r="G105" s="24" t="s">
        <v>242</v>
      </c>
      <c r="H105" s="17" t="s">
        <v>758</v>
      </c>
      <c r="I105" s="17" t="s">
        <v>759</v>
      </c>
      <c r="J105" s="19">
        <v>3.4722222222222224E-2</v>
      </c>
      <c r="K105" s="19">
        <v>2.4305555555555556E-2</v>
      </c>
      <c r="L105" s="21">
        <f>CRF[[#This Row],[Time Spent on Configuration]]+CRF[[#This Row],[Time Spent on Review/Testing]]</f>
        <v>5.9027777777777776E-2</v>
      </c>
      <c r="N105" s="16" t="s">
        <v>28</v>
      </c>
      <c r="O105" s="16" t="s">
        <v>245</v>
      </c>
      <c r="P105" s="16" t="s">
        <v>38</v>
      </c>
      <c r="Q105" s="24">
        <v>45518</v>
      </c>
      <c r="R105" s="16">
        <v>5</v>
      </c>
    </row>
    <row r="106" spans="1:18" ht="187.2" x14ac:dyDescent="0.3">
      <c r="A106" s="16" t="s">
        <v>216</v>
      </c>
      <c r="B106" s="17" t="s">
        <v>403</v>
      </c>
      <c r="C106" s="16" t="str">
        <f>IFERROR(INDEX(C:C, MATCH(B106, B:B, 0)), "")</f>
        <v>Holmes Murphy</v>
      </c>
      <c r="D106" s="16">
        <v>387005</v>
      </c>
      <c r="E106" s="16" t="s">
        <v>24</v>
      </c>
      <c r="F106" s="24">
        <v>45520</v>
      </c>
      <c r="G106" s="24" t="s">
        <v>242</v>
      </c>
      <c r="H106" s="17" t="s">
        <v>760</v>
      </c>
      <c r="I106" s="17" t="s">
        <v>761</v>
      </c>
      <c r="J106" s="19">
        <v>4.1666666666666664E-2</v>
      </c>
      <c r="K106" s="19">
        <v>3.4722222222222224E-2</v>
      </c>
      <c r="L106" s="21">
        <f>CRF[[#This Row],[Time Spent on Configuration]]+CRF[[#This Row],[Time Spent on Review/Testing]]</f>
        <v>7.6388888888888895E-2</v>
      </c>
      <c r="N106" s="16" t="s">
        <v>28</v>
      </c>
      <c r="O106" s="16" t="s">
        <v>29</v>
      </c>
      <c r="P106" s="16" t="s">
        <v>38</v>
      </c>
      <c r="Q106" s="24">
        <f>CRF[[#This Row],[Change Request Date]]</f>
        <v>45520</v>
      </c>
      <c r="R106" s="16">
        <v>5</v>
      </c>
    </row>
    <row r="107" spans="1:18" ht="86.4" x14ac:dyDescent="0.3">
      <c r="A107" s="16" t="s">
        <v>216</v>
      </c>
      <c r="B107" s="17" t="s">
        <v>39</v>
      </c>
      <c r="C107" s="16" t="str">
        <f>IFERROR(INDEX(C:C, MATCH(B107, B:B, 0)), "")</f>
        <v>TrueNorth</v>
      </c>
      <c r="D107" s="16">
        <v>387995</v>
      </c>
      <c r="E107" s="16" t="s">
        <v>40</v>
      </c>
      <c r="F107" s="24">
        <v>45524</v>
      </c>
      <c r="G107" s="24" t="s">
        <v>25</v>
      </c>
      <c r="H107" s="17" t="s">
        <v>762</v>
      </c>
      <c r="I107" s="17" t="s">
        <v>763</v>
      </c>
      <c r="J107" s="19">
        <v>1.3888888888888888E-2</v>
      </c>
      <c r="K107" s="19">
        <v>4.1666666666666664E-2</v>
      </c>
      <c r="L107" s="21">
        <f>CRF[[#This Row],[Time Spent on Configuration]]+CRF[[#This Row],[Time Spent on Review/Testing]]</f>
        <v>5.5555555555555552E-2</v>
      </c>
      <c r="N107" s="16" t="s">
        <v>28</v>
      </c>
      <c r="O107" s="16" t="s">
        <v>29</v>
      </c>
      <c r="P107" s="16" t="s">
        <v>38</v>
      </c>
      <c r="Q107" s="24">
        <f>CRF[[#This Row],[Change Request Date]]</f>
        <v>45524</v>
      </c>
      <c r="R107" s="16">
        <v>5</v>
      </c>
    </row>
    <row r="108" spans="1:18" ht="158.4" x14ac:dyDescent="0.3">
      <c r="A108" s="16" t="s">
        <v>216</v>
      </c>
      <c r="B108" s="17" t="s">
        <v>536</v>
      </c>
      <c r="C108" s="16" t="str">
        <f>IFERROR(INDEX(C:C, MATCH(B108, B:B, 0)), "")</f>
        <v>TrueNorth</v>
      </c>
      <c r="D108" s="16">
        <v>353809</v>
      </c>
      <c r="E108" s="16" t="s">
        <v>24</v>
      </c>
      <c r="F108" s="24">
        <v>45525</v>
      </c>
      <c r="G108" s="24" t="s">
        <v>242</v>
      </c>
      <c r="H108" s="17" t="s">
        <v>764</v>
      </c>
      <c r="I108" s="17" t="s">
        <v>765</v>
      </c>
      <c r="J108" s="19">
        <v>2.0833333333333332E-2</v>
      </c>
      <c r="K108" s="19">
        <v>4.8611111111111112E-2</v>
      </c>
      <c r="L108" s="21">
        <f>CRF[[#This Row],[Time Spent on Configuration]]+CRF[[#This Row],[Time Spent on Review/Testing]]</f>
        <v>6.9444444444444448E-2</v>
      </c>
      <c r="N108" s="16" t="s">
        <v>28</v>
      </c>
      <c r="O108" s="16" t="s">
        <v>29</v>
      </c>
      <c r="P108" s="16" t="s">
        <v>114</v>
      </c>
      <c r="Q108" s="24">
        <f>CRF[[#This Row],[Change Request Date]]</f>
        <v>45525</v>
      </c>
      <c r="R108" s="16">
        <v>5</v>
      </c>
    </row>
    <row r="109" spans="1:18" ht="28.8" x14ac:dyDescent="0.3">
      <c r="A109" s="16" t="s">
        <v>216</v>
      </c>
      <c r="B109" s="17" t="s">
        <v>217</v>
      </c>
      <c r="C109" s="16" t="str">
        <f>IFERROR(INDEX(C:C, MATCH(B109, B:B, 0)), "")</f>
        <v>TrueNorth</v>
      </c>
      <c r="D109" s="16">
        <v>376600</v>
      </c>
      <c r="E109" s="16" t="s">
        <v>24</v>
      </c>
      <c r="F109" s="24">
        <v>45534</v>
      </c>
      <c r="G109" s="24" t="s">
        <v>766</v>
      </c>
      <c r="H109" s="17" t="s">
        <v>767</v>
      </c>
      <c r="I109" s="17" t="s">
        <v>768</v>
      </c>
      <c r="J109" s="19">
        <v>3.125E-2</v>
      </c>
      <c r="K109" s="19">
        <v>3.4722222222222224E-2</v>
      </c>
      <c r="L109" s="21">
        <f>CRF[[#This Row],[Time Spent on Configuration]]+CRF[[#This Row],[Time Spent on Review/Testing]]</f>
        <v>6.5972222222222224E-2</v>
      </c>
      <c r="N109" s="16" t="s">
        <v>245</v>
      </c>
      <c r="O109" s="16" t="s">
        <v>29</v>
      </c>
      <c r="P109" s="16" t="s">
        <v>114</v>
      </c>
      <c r="Q109" s="24">
        <v>45534</v>
      </c>
      <c r="R109" s="16">
        <v>5</v>
      </c>
    </row>
    <row r="110" spans="1:18" ht="28.8" x14ac:dyDescent="0.3">
      <c r="A110" s="16" t="s">
        <v>463</v>
      </c>
      <c r="B110" s="17" t="s">
        <v>237</v>
      </c>
      <c r="C110" s="16" t="str">
        <f>IFERROR(INDEX(C:C, MATCH(B110, B:B, 0)), "")</f>
        <v>TrueNorth</v>
      </c>
      <c r="D110" s="16">
        <v>390246</v>
      </c>
      <c r="E110" s="16" t="s">
        <v>24</v>
      </c>
      <c r="F110" s="24">
        <v>45540</v>
      </c>
      <c r="G110" s="24" t="s">
        <v>25</v>
      </c>
      <c r="H110" s="17" t="s">
        <v>769</v>
      </c>
      <c r="I110" s="17" t="s">
        <v>770</v>
      </c>
      <c r="J110" s="19">
        <v>2.0833333333333332E-2</v>
      </c>
      <c r="K110" s="19">
        <v>6.25E-2</v>
      </c>
      <c r="L110" s="21">
        <f>CRF[[#This Row],[Time Spent on Configuration]]+CRF[[#This Row],[Time Spent on Review/Testing]]</f>
        <v>8.3333333333333329E-2</v>
      </c>
      <c r="N110" s="16" t="s">
        <v>28</v>
      </c>
      <c r="O110" s="16" t="s">
        <v>245</v>
      </c>
      <c r="P110" s="29" t="s">
        <v>38</v>
      </c>
      <c r="Q110" s="24">
        <v>45541</v>
      </c>
      <c r="R110" s="16">
        <v>5</v>
      </c>
    </row>
    <row r="111" spans="1:18" ht="115.2" x14ac:dyDescent="0.3">
      <c r="A111" s="16" t="s">
        <v>463</v>
      </c>
      <c r="B111" s="17" t="s">
        <v>649</v>
      </c>
      <c r="C111" s="16" t="s">
        <v>385</v>
      </c>
      <c r="D111" s="16">
        <v>389214</v>
      </c>
      <c r="E111" s="16" t="s">
        <v>24</v>
      </c>
      <c r="F111" s="24">
        <v>45545</v>
      </c>
      <c r="G111" s="24" t="s">
        <v>242</v>
      </c>
      <c r="H111" s="17" t="s">
        <v>771</v>
      </c>
      <c r="I111" s="17" t="s">
        <v>772</v>
      </c>
      <c r="J111" s="19">
        <v>2.0833333333333332E-2</v>
      </c>
      <c r="K111" s="19">
        <v>4.5138888888888888E-2</v>
      </c>
      <c r="L111" s="21">
        <f>CRF[[#This Row],[Time Spent on Configuration]]+CRF[[#This Row],[Time Spent on Review/Testing]]</f>
        <v>6.5972222222222224E-2</v>
      </c>
      <c r="N111" s="16" t="s">
        <v>29</v>
      </c>
      <c r="O111" s="16" t="s">
        <v>245</v>
      </c>
      <c r="P111" s="16" t="s">
        <v>114</v>
      </c>
      <c r="Q111" s="24">
        <v>45545</v>
      </c>
      <c r="R111" s="16">
        <v>5</v>
      </c>
    </row>
    <row r="112" spans="1:18" ht="43.2" x14ac:dyDescent="0.3">
      <c r="A112" s="16" t="s">
        <v>463</v>
      </c>
      <c r="B112" s="17" t="s">
        <v>165</v>
      </c>
      <c r="C112" s="16" t="s">
        <v>581</v>
      </c>
      <c r="D112" s="16">
        <v>389347</v>
      </c>
      <c r="E112" s="16" t="s">
        <v>40</v>
      </c>
      <c r="F112" s="24">
        <v>45546</v>
      </c>
      <c r="G112" s="16" t="s">
        <v>302</v>
      </c>
      <c r="H112" s="17" t="s">
        <v>773</v>
      </c>
      <c r="I112" s="17" t="s">
        <v>774</v>
      </c>
      <c r="J112" s="19">
        <v>1.3888888888888888E-2</v>
      </c>
      <c r="K112" s="19">
        <v>5.2083333333333336E-2</v>
      </c>
      <c r="L112" s="21">
        <f>CRF[[#This Row],[Time Spent on Configuration]]+CRF[[#This Row],[Time Spent on Review/Testing]]</f>
        <v>6.5972222222222224E-2</v>
      </c>
      <c r="N112" s="16" t="s">
        <v>29</v>
      </c>
      <c r="O112" s="16" t="s">
        <v>245</v>
      </c>
      <c r="P112" s="16" t="s">
        <v>114</v>
      </c>
      <c r="Q112" s="24">
        <v>45546</v>
      </c>
      <c r="R112" s="16">
        <v>5</v>
      </c>
    </row>
    <row r="113" spans="1:20" ht="28.8" x14ac:dyDescent="0.3">
      <c r="A113" s="16" t="s">
        <v>463</v>
      </c>
      <c r="B113" s="17" t="s">
        <v>237</v>
      </c>
      <c r="C113" s="16" t="str">
        <f t="shared" ref="C113:C120" si="0">IFERROR(INDEX(C:C, MATCH(B113, B:B, 0)), "")</f>
        <v>TrueNorth</v>
      </c>
      <c r="D113" s="16">
        <v>391578</v>
      </c>
      <c r="E113" s="16" t="s">
        <v>24</v>
      </c>
      <c r="F113" s="24">
        <v>45553</v>
      </c>
      <c r="G113" s="24" t="s">
        <v>25</v>
      </c>
      <c r="H113" s="17" t="s">
        <v>775</v>
      </c>
      <c r="I113" s="17" t="s">
        <v>776</v>
      </c>
      <c r="J113" s="19">
        <v>2.0833333333333332E-2</v>
      </c>
      <c r="K113" s="19">
        <v>4.5138888888888888E-2</v>
      </c>
      <c r="L113" s="21">
        <f>CRF[[#This Row],[Time Spent on Configuration]]+CRF[[#This Row],[Time Spent on Review/Testing]]</f>
        <v>6.5972222222222224E-2</v>
      </c>
      <c r="N113" s="16" t="s">
        <v>28</v>
      </c>
      <c r="O113" s="16" t="s">
        <v>245</v>
      </c>
      <c r="P113" s="16" t="s">
        <v>38</v>
      </c>
      <c r="Q113" s="24">
        <v>45553</v>
      </c>
      <c r="R113" s="16">
        <v>5</v>
      </c>
    </row>
    <row r="114" spans="1:20" ht="331.2" x14ac:dyDescent="0.3">
      <c r="A114" s="16" t="s">
        <v>463</v>
      </c>
      <c r="B114" s="17" t="s">
        <v>39</v>
      </c>
      <c r="C114" s="16" t="str">
        <f t="shared" si="0"/>
        <v>TrueNorth</v>
      </c>
      <c r="D114" s="16">
        <v>384448</v>
      </c>
      <c r="E114" s="16" t="s">
        <v>24</v>
      </c>
      <c r="F114" s="24">
        <v>45555</v>
      </c>
      <c r="G114" s="24" t="s">
        <v>25</v>
      </c>
      <c r="H114" s="17" t="s">
        <v>777</v>
      </c>
      <c r="I114" s="17" t="s">
        <v>778</v>
      </c>
      <c r="J114" s="19">
        <v>2.0833333333333332E-2</v>
      </c>
      <c r="K114" s="19">
        <v>4.1666666666666664E-2</v>
      </c>
      <c r="L114" s="21">
        <f>CRF[[#This Row],[Time Spent on Configuration]]+CRF[[#This Row],[Time Spent on Review/Testing]]</f>
        <v>6.25E-2</v>
      </c>
      <c r="N114" s="16" t="s">
        <v>36</v>
      </c>
      <c r="O114" s="16" t="s">
        <v>29</v>
      </c>
      <c r="P114" s="16" t="s">
        <v>38</v>
      </c>
      <c r="Q114" s="24">
        <v>45555</v>
      </c>
      <c r="R114" s="16">
        <v>5</v>
      </c>
    </row>
    <row r="115" spans="1:20" ht="28.8" x14ac:dyDescent="0.3">
      <c r="A115" s="16" t="s">
        <v>463</v>
      </c>
      <c r="B115" s="17" t="s">
        <v>115</v>
      </c>
      <c r="C115" s="16" t="str">
        <f t="shared" si="0"/>
        <v>Alera Group</v>
      </c>
      <c r="D115" s="16">
        <v>392052</v>
      </c>
      <c r="E115" s="16" t="s">
        <v>40</v>
      </c>
      <c r="F115" s="24">
        <v>45559</v>
      </c>
      <c r="G115" s="24" t="s">
        <v>557</v>
      </c>
      <c r="H115" s="17" t="s">
        <v>779</v>
      </c>
      <c r="I115" s="17" t="s">
        <v>780</v>
      </c>
      <c r="J115" s="19">
        <v>2.0833333333333332E-2</v>
      </c>
      <c r="K115" s="19">
        <v>3.4722222222222224E-2</v>
      </c>
      <c r="L115" s="21">
        <f>CRF[[#This Row],[Time Spent on Configuration]]+CRF[[#This Row],[Time Spent on Review/Testing]]</f>
        <v>5.5555555555555552E-2</v>
      </c>
      <c r="N115" s="16" t="s">
        <v>603</v>
      </c>
      <c r="O115" s="16" t="s">
        <v>29</v>
      </c>
      <c r="P115" s="16" t="s">
        <v>114</v>
      </c>
      <c r="Q115" s="24">
        <v>45555</v>
      </c>
      <c r="R115" s="16">
        <v>5</v>
      </c>
    </row>
    <row r="116" spans="1:20" ht="129.6" x14ac:dyDescent="0.3">
      <c r="A116" s="16" t="s">
        <v>463</v>
      </c>
      <c r="B116" s="17" t="s">
        <v>399</v>
      </c>
      <c r="C116" s="16" t="str">
        <f t="shared" si="0"/>
        <v>Dickerson Insurance Service</v>
      </c>
      <c r="D116" s="16">
        <v>391180</v>
      </c>
      <c r="E116" s="16" t="s">
        <v>24</v>
      </c>
      <c r="F116" s="24">
        <v>45561</v>
      </c>
      <c r="G116" s="24" t="s">
        <v>81</v>
      </c>
      <c r="H116" s="17" t="s">
        <v>781</v>
      </c>
      <c r="I116" s="17" t="s">
        <v>782</v>
      </c>
      <c r="J116" s="19">
        <v>3.4722222222222224E-2</v>
      </c>
      <c r="K116" s="19">
        <v>5.9027777777777776E-2</v>
      </c>
      <c r="L116" s="21">
        <f>CRF[[#This Row],[Time Spent on Configuration]]+CRF[[#This Row],[Time Spent on Review/Testing]]</f>
        <v>9.375E-2</v>
      </c>
      <c r="N116" s="16" t="s">
        <v>29</v>
      </c>
      <c r="O116" s="16" t="s">
        <v>245</v>
      </c>
      <c r="P116" s="16" t="s">
        <v>374</v>
      </c>
      <c r="Q116" s="24">
        <v>45561</v>
      </c>
      <c r="R116" s="16">
        <v>5</v>
      </c>
    </row>
    <row r="117" spans="1:20" ht="72" x14ac:dyDescent="0.3">
      <c r="A117" s="16" t="s">
        <v>463</v>
      </c>
      <c r="B117" s="17" t="s">
        <v>403</v>
      </c>
      <c r="C117" s="16" t="str">
        <f t="shared" si="0"/>
        <v>Holmes Murphy</v>
      </c>
      <c r="D117" s="16">
        <v>388689</v>
      </c>
      <c r="E117" s="16" t="s">
        <v>40</v>
      </c>
      <c r="F117" s="24">
        <v>45561</v>
      </c>
      <c r="G117" s="24" t="s">
        <v>81</v>
      </c>
      <c r="H117" s="17" t="s">
        <v>783</v>
      </c>
      <c r="I117" s="17" t="s">
        <v>784</v>
      </c>
      <c r="J117" s="19">
        <v>2.0833333333333332E-2</v>
      </c>
      <c r="K117" s="19">
        <v>4.1666666666666664E-2</v>
      </c>
      <c r="L117" s="21">
        <f>CRF[[#This Row],[Time Spent on Configuration]]+CRF[[#This Row],[Time Spent on Review/Testing]]</f>
        <v>6.25E-2</v>
      </c>
      <c r="N117" s="16" t="s">
        <v>603</v>
      </c>
      <c r="O117" s="16" t="s">
        <v>245</v>
      </c>
      <c r="P117" s="16" t="s">
        <v>38</v>
      </c>
      <c r="Q117" s="24">
        <v>45561</v>
      </c>
      <c r="R117" s="16">
        <v>5</v>
      </c>
    </row>
    <row r="118" spans="1:20" ht="100.8" x14ac:dyDescent="0.3">
      <c r="A118" s="16" t="s">
        <v>463</v>
      </c>
      <c r="B118" s="17" t="s">
        <v>584</v>
      </c>
      <c r="C118" s="16" t="str">
        <f t="shared" si="0"/>
        <v>EBS</v>
      </c>
      <c r="D118" s="16">
        <v>392587</v>
      </c>
      <c r="E118" s="16" t="s">
        <v>40</v>
      </c>
      <c r="F118" s="24">
        <v>45562</v>
      </c>
      <c r="G118" s="24" t="s">
        <v>81</v>
      </c>
      <c r="H118" s="17" t="s">
        <v>785</v>
      </c>
      <c r="I118" s="17" t="s">
        <v>785</v>
      </c>
      <c r="J118" s="19">
        <v>2.0833333333333332E-2</v>
      </c>
      <c r="K118" s="19">
        <v>3.125E-2</v>
      </c>
      <c r="L118" s="21">
        <f>CRF[[#This Row],[Time Spent on Configuration]]+CRF[[#This Row],[Time Spent on Review/Testing]]</f>
        <v>5.2083333333333329E-2</v>
      </c>
      <c r="N118" s="16" t="s">
        <v>28</v>
      </c>
      <c r="O118" s="16" t="s">
        <v>245</v>
      </c>
      <c r="P118" s="16" t="s">
        <v>38</v>
      </c>
      <c r="Q118" s="24">
        <v>45562</v>
      </c>
      <c r="R118" s="16">
        <v>5</v>
      </c>
    </row>
    <row r="119" spans="1:20" ht="57.6" x14ac:dyDescent="0.3">
      <c r="A119" s="16" t="s">
        <v>463</v>
      </c>
      <c r="B119" s="17" t="s">
        <v>584</v>
      </c>
      <c r="C119" s="16" t="str">
        <f t="shared" si="0"/>
        <v>EBS</v>
      </c>
      <c r="D119" s="16">
        <v>392603</v>
      </c>
      <c r="E119" s="16" t="s">
        <v>40</v>
      </c>
      <c r="F119" s="24">
        <v>45565</v>
      </c>
      <c r="G119" s="24" t="s">
        <v>447</v>
      </c>
      <c r="H119" s="17" t="s">
        <v>786</v>
      </c>
      <c r="I119" s="17" t="s">
        <v>787</v>
      </c>
      <c r="J119" s="19">
        <v>6.9444444444444441E-3</v>
      </c>
      <c r="K119" s="19">
        <v>1.3888888888888888E-2</v>
      </c>
      <c r="L119" s="21">
        <f>CRF[[#This Row],[Time Spent on Configuration]]+CRF[[#This Row],[Time Spent on Review/Testing]]</f>
        <v>2.0833333333333332E-2</v>
      </c>
      <c r="N119" s="16" t="s">
        <v>245</v>
      </c>
      <c r="O119" s="16" t="s">
        <v>29</v>
      </c>
      <c r="P119" s="16" t="s">
        <v>38</v>
      </c>
      <c r="Q119" s="24">
        <v>45565</v>
      </c>
      <c r="R119" s="16">
        <v>5</v>
      </c>
    </row>
    <row r="120" spans="1:20" ht="86.4" x14ac:dyDescent="0.3">
      <c r="A120" s="16" t="s">
        <v>480</v>
      </c>
      <c r="B120" s="17" t="s">
        <v>165</v>
      </c>
      <c r="C120" s="16" t="str">
        <f t="shared" si="0"/>
        <v>Hierl Insurance Inc</v>
      </c>
      <c r="D120" s="16">
        <v>392441</v>
      </c>
      <c r="E120" s="16" t="s">
        <v>40</v>
      </c>
      <c r="F120" s="24">
        <v>45569</v>
      </c>
      <c r="G120" s="24" t="s">
        <v>81</v>
      </c>
      <c r="H120" s="17" t="s">
        <v>788</v>
      </c>
      <c r="I120" s="17" t="s">
        <v>789</v>
      </c>
      <c r="J120" s="19">
        <v>2.0833333333333332E-2</v>
      </c>
      <c r="K120" s="19">
        <v>2.7777777777777776E-2</v>
      </c>
      <c r="L120" s="21">
        <f>CRF[[#This Row],[Time Spent on Configuration]]+CRF[[#This Row],[Time Spent on Review/Testing]]</f>
        <v>4.8611111111111105E-2</v>
      </c>
      <c r="N120" s="16" t="s">
        <v>28</v>
      </c>
      <c r="O120" s="16" t="s">
        <v>245</v>
      </c>
      <c r="P120" s="16" t="s">
        <v>114</v>
      </c>
      <c r="Q120" s="24">
        <v>45569</v>
      </c>
      <c r="R120" s="16">
        <v>5</v>
      </c>
    </row>
    <row r="121" spans="1:20" ht="187.2" x14ac:dyDescent="0.3">
      <c r="A121" s="16" t="s">
        <v>480</v>
      </c>
      <c r="B121" s="17" t="s">
        <v>248</v>
      </c>
      <c r="C121" s="16" t="s">
        <v>23</v>
      </c>
      <c r="D121" s="16">
        <v>392543</v>
      </c>
      <c r="E121" s="16" t="s">
        <v>203</v>
      </c>
      <c r="F121" s="24">
        <v>45570</v>
      </c>
      <c r="G121" s="24" t="s">
        <v>81</v>
      </c>
      <c r="H121" s="17" t="s">
        <v>790</v>
      </c>
      <c r="I121" s="17" t="s">
        <v>791</v>
      </c>
      <c r="J121" s="19">
        <v>6.25E-2</v>
      </c>
      <c r="K121" s="19">
        <v>2.7777777777777776E-2</v>
      </c>
      <c r="L121" s="21">
        <f>CRF[[#This Row],[Time Spent on Configuration]]+CRF[[#This Row],[Time Spent on Review/Testing]]</f>
        <v>9.0277777777777776E-2</v>
      </c>
      <c r="N121" s="16" t="s">
        <v>28</v>
      </c>
      <c r="O121" s="16" t="s">
        <v>29</v>
      </c>
      <c r="P121" s="16" t="s">
        <v>38</v>
      </c>
      <c r="Q121" s="24">
        <v>45570</v>
      </c>
      <c r="R121" s="16">
        <v>5</v>
      </c>
    </row>
    <row r="122" spans="1:20" ht="86.4" x14ac:dyDescent="0.3">
      <c r="A122" s="16" t="s">
        <v>480</v>
      </c>
      <c r="B122" s="17" t="s">
        <v>649</v>
      </c>
      <c r="C122" s="16" t="s">
        <v>385</v>
      </c>
      <c r="D122" s="16">
        <v>393468</v>
      </c>
      <c r="E122" s="16" t="s">
        <v>40</v>
      </c>
      <c r="F122" s="24">
        <v>45572</v>
      </c>
      <c r="G122" s="24" t="s">
        <v>242</v>
      </c>
      <c r="H122" s="17" t="s">
        <v>792</v>
      </c>
      <c r="I122" s="17" t="s">
        <v>793</v>
      </c>
      <c r="J122" s="19">
        <v>2.0833333333333332E-2</v>
      </c>
      <c r="K122" s="19">
        <v>3.125E-2</v>
      </c>
      <c r="L122" s="21">
        <f>CRF[[#This Row],[Time Spent on Configuration]]+CRF[[#This Row],[Time Spent on Review/Testing]]</f>
        <v>5.2083333333333329E-2</v>
      </c>
      <c r="N122" s="16" t="s">
        <v>29</v>
      </c>
      <c r="O122" s="16" t="s">
        <v>245</v>
      </c>
      <c r="P122" s="16" t="s">
        <v>114</v>
      </c>
      <c r="Q122" s="24">
        <v>45572</v>
      </c>
      <c r="R122" s="16">
        <v>5</v>
      </c>
    </row>
    <row r="123" spans="1:20" ht="28.8" x14ac:dyDescent="0.3">
      <c r="A123" s="16" t="s">
        <v>480</v>
      </c>
      <c r="B123" s="17" t="s">
        <v>217</v>
      </c>
      <c r="C123" s="16" t="str">
        <f>IFERROR(INDEX(C:C, MATCH(B123, B:B, 0)), "")</f>
        <v>TrueNorth</v>
      </c>
      <c r="D123" s="16">
        <v>390941</v>
      </c>
      <c r="E123" s="16" t="s">
        <v>24</v>
      </c>
      <c r="F123" s="24">
        <v>45573</v>
      </c>
      <c r="G123" s="24" t="s">
        <v>794</v>
      </c>
      <c r="H123" s="17" t="s">
        <v>795</v>
      </c>
      <c r="I123" s="17" t="s">
        <v>796</v>
      </c>
      <c r="J123" s="19">
        <v>3.125E-2</v>
      </c>
      <c r="K123" s="19">
        <v>3.4722222222222224E-2</v>
      </c>
      <c r="L123" s="21">
        <f>CRF[[#This Row],[Time Spent on Configuration]]+CRF[[#This Row],[Time Spent on Review/Testing]]</f>
        <v>6.5972222222222224E-2</v>
      </c>
      <c r="N123" s="16" t="s">
        <v>245</v>
      </c>
      <c r="O123" s="16" t="s">
        <v>29</v>
      </c>
      <c r="P123" s="16" t="s">
        <v>114</v>
      </c>
      <c r="Q123" s="24">
        <v>45573</v>
      </c>
      <c r="R123" s="16">
        <v>5</v>
      </c>
    </row>
    <row r="124" spans="1:20" ht="100.8" x14ac:dyDescent="0.3">
      <c r="A124" s="16" t="s">
        <v>480</v>
      </c>
      <c r="B124" s="17" t="s">
        <v>536</v>
      </c>
      <c r="C124" s="16" t="str">
        <f>IFERROR(INDEX(C:C, MATCH(B124, B:B, 0)), "")</f>
        <v>TrueNorth</v>
      </c>
      <c r="D124" s="16">
        <v>353809</v>
      </c>
      <c r="E124" s="16" t="s">
        <v>24</v>
      </c>
      <c r="F124" s="24">
        <v>45574</v>
      </c>
      <c r="G124" s="24" t="s">
        <v>242</v>
      </c>
      <c r="H124" s="17" t="s">
        <v>797</v>
      </c>
      <c r="I124" s="17" t="s">
        <v>798</v>
      </c>
      <c r="J124" s="19">
        <v>2.7777777777777776E-2</v>
      </c>
      <c r="K124" s="19">
        <v>4.1666666666666664E-2</v>
      </c>
      <c r="L124" s="21">
        <f>CRF[[#This Row],[Time Spent on Configuration]]+CRF[[#This Row],[Time Spent on Review/Testing]]</f>
        <v>6.9444444444444448E-2</v>
      </c>
      <c r="N124" s="16" t="s">
        <v>245</v>
      </c>
      <c r="O124" s="16" t="s">
        <v>29</v>
      </c>
      <c r="P124" s="16" t="s">
        <v>114</v>
      </c>
      <c r="Q124" s="24">
        <v>45574</v>
      </c>
      <c r="R124" s="16">
        <v>5</v>
      </c>
    </row>
    <row r="125" spans="1:20" ht="100.8" x14ac:dyDescent="0.3">
      <c r="A125" s="16" t="s">
        <v>480</v>
      </c>
      <c r="B125" s="34" t="s">
        <v>312</v>
      </c>
      <c r="C125" s="16" t="s">
        <v>338</v>
      </c>
      <c r="D125" s="16">
        <v>394054</v>
      </c>
      <c r="E125" s="16" t="s">
        <v>24</v>
      </c>
      <c r="F125" s="24">
        <v>45575</v>
      </c>
      <c r="G125" s="24" t="s">
        <v>766</v>
      </c>
      <c r="H125" s="17" t="s">
        <v>799</v>
      </c>
      <c r="I125" s="17" t="s">
        <v>800</v>
      </c>
      <c r="J125" s="19">
        <v>2.0833333333333332E-2</v>
      </c>
      <c r="K125" s="19">
        <v>3.125E-2</v>
      </c>
      <c r="L125" s="21">
        <f>CRF[[#This Row],[Time Spent on Configuration]]+CRF[[#This Row],[Time Spent on Review/Testing]]</f>
        <v>5.2083333333333329E-2</v>
      </c>
      <c r="N125" s="16" t="s">
        <v>29</v>
      </c>
      <c r="O125" s="16" t="s">
        <v>245</v>
      </c>
      <c r="P125" s="16" t="s">
        <v>288</v>
      </c>
      <c r="Q125" s="24">
        <v>45575</v>
      </c>
      <c r="R125" s="16">
        <v>5</v>
      </c>
      <c r="T125" s="16" t="s">
        <v>801</v>
      </c>
    </row>
    <row r="126" spans="1:20" ht="57.6" x14ac:dyDescent="0.3">
      <c r="A126" s="16" t="s">
        <v>480</v>
      </c>
      <c r="B126" s="17" t="s">
        <v>217</v>
      </c>
      <c r="C126" s="16" t="str">
        <f>IFERROR(INDEX(C:C, MATCH(B126, B:B, 0)), "")</f>
        <v>TrueNorth</v>
      </c>
      <c r="D126" s="16">
        <v>393907</v>
      </c>
      <c r="E126" s="16" t="s">
        <v>24</v>
      </c>
      <c r="F126" s="24">
        <v>45575</v>
      </c>
      <c r="G126" s="24" t="s">
        <v>25</v>
      </c>
      <c r="H126" s="17" t="s">
        <v>802</v>
      </c>
      <c r="I126" s="17" t="s">
        <v>803</v>
      </c>
      <c r="J126" s="19">
        <v>3.4722222222222224E-2</v>
      </c>
      <c r="K126" s="19">
        <v>7.2916666666666671E-2</v>
      </c>
      <c r="L126" s="21">
        <f>CRF[[#This Row],[Time Spent on Configuration]]+CRF[[#This Row],[Time Spent on Review/Testing]]</f>
        <v>0.1076388888888889</v>
      </c>
      <c r="N126" s="16" t="s">
        <v>29</v>
      </c>
      <c r="O126" s="16" t="s">
        <v>245</v>
      </c>
      <c r="P126" s="23" t="s">
        <v>114</v>
      </c>
      <c r="Q126" s="24">
        <v>45575</v>
      </c>
      <c r="R126" s="16">
        <v>5</v>
      </c>
      <c r="T126" s="16" t="s">
        <v>804</v>
      </c>
    </row>
    <row r="127" spans="1:20" ht="57.6" x14ac:dyDescent="0.3">
      <c r="A127" s="16" t="s">
        <v>480</v>
      </c>
      <c r="B127" s="17" t="s">
        <v>165</v>
      </c>
      <c r="C127" s="16" t="str">
        <f>IFERROR(INDEX(C:C, MATCH(B127, B:B, 0)), "")</f>
        <v>Hierl Insurance Inc</v>
      </c>
      <c r="D127" s="16">
        <v>393909</v>
      </c>
      <c r="E127" s="16" t="s">
        <v>40</v>
      </c>
      <c r="F127" s="24">
        <v>45580</v>
      </c>
      <c r="G127" s="24" t="s">
        <v>81</v>
      </c>
      <c r="H127" s="17" t="s">
        <v>805</v>
      </c>
      <c r="I127" s="17" t="s">
        <v>806</v>
      </c>
      <c r="J127" s="19">
        <v>3.4722222222222224E-2</v>
      </c>
      <c r="K127" s="19">
        <v>4.8611111111111112E-2</v>
      </c>
      <c r="L127" s="21">
        <f>CRF[[#This Row],[Time Spent on Configuration]]+CRF[[#This Row],[Time Spent on Review/Testing]]</f>
        <v>8.3333333333333343E-2</v>
      </c>
      <c r="N127" s="16" t="s">
        <v>28</v>
      </c>
      <c r="O127" s="16" t="s">
        <v>29</v>
      </c>
      <c r="P127" s="23" t="s">
        <v>114</v>
      </c>
      <c r="Q127" s="24">
        <v>45580</v>
      </c>
      <c r="R127" s="16">
        <v>2</v>
      </c>
      <c r="T127" s="16" t="s">
        <v>801</v>
      </c>
    </row>
    <row r="128" spans="1:20" ht="86.4" x14ac:dyDescent="0.3">
      <c r="A128" s="16" t="s">
        <v>480</v>
      </c>
      <c r="B128" s="17" t="s">
        <v>66</v>
      </c>
      <c r="C128" s="16" t="str">
        <f>IFERROR(INDEX(C:C, MATCH(B128, B:B, 0)), "")</f>
        <v>Dillingham Benefits</v>
      </c>
      <c r="D128" s="16">
        <v>393749</v>
      </c>
      <c r="E128" s="16" t="s">
        <v>40</v>
      </c>
      <c r="F128" s="24">
        <v>45581</v>
      </c>
      <c r="G128" s="24" t="s">
        <v>81</v>
      </c>
      <c r="H128" s="17" t="s">
        <v>807</v>
      </c>
      <c r="I128" s="17" t="s">
        <v>808</v>
      </c>
      <c r="J128" s="19">
        <v>3.4722222222222224E-2</v>
      </c>
      <c r="K128" s="19">
        <v>4.5138888888888888E-2</v>
      </c>
      <c r="L128" s="21">
        <f>CRF[[#This Row],[Time Spent on Configuration]]+CRF[[#This Row],[Time Spent on Review/Testing]]</f>
        <v>7.9861111111111105E-2</v>
      </c>
      <c r="N128" s="16" t="s">
        <v>28</v>
      </c>
      <c r="O128" s="16" t="s">
        <v>29</v>
      </c>
      <c r="P128" s="23" t="s">
        <v>38</v>
      </c>
      <c r="Q128" s="24">
        <v>45581</v>
      </c>
      <c r="R128" s="16">
        <v>5</v>
      </c>
    </row>
    <row r="129" spans="1:20" ht="259.2" x14ac:dyDescent="0.3">
      <c r="A129" s="16" t="s">
        <v>480</v>
      </c>
      <c r="B129" s="17" t="s">
        <v>123</v>
      </c>
      <c r="C129" s="16" t="str">
        <f>IFERROR(INDEX(C:C, MATCH(B129, B:B, 0)), "")</f>
        <v>TrueNorth</v>
      </c>
      <c r="D129" s="16">
        <v>394406</v>
      </c>
      <c r="E129" s="16" t="s">
        <v>24</v>
      </c>
      <c r="F129" s="24">
        <v>45583</v>
      </c>
      <c r="G129" s="24" t="s">
        <v>242</v>
      </c>
      <c r="H129" s="17" t="s">
        <v>809</v>
      </c>
      <c r="I129" s="17" t="s">
        <v>810</v>
      </c>
      <c r="J129" s="19">
        <v>4.1666666666666664E-2</v>
      </c>
      <c r="K129" s="19">
        <v>5.5555555555555552E-2</v>
      </c>
      <c r="L129" s="21">
        <f>CRF[[#This Row],[Time Spent on Configuration]]+CRF[[#This Row],[Time Spent on Review/Testing]]</f>
        <v>9.722222222222221E-2</v>
      </c>
      <c r="N129" s="16" t="s">
        <v>28</v>
      </c>
      <c r="O129" s="16" t="s">
        <v>29</v>
      </c>
      <c r="P129" s="23" t="s">
        <v>114</v>
      </c>
      <c r="Q129" s="24">
        <v>45583</v>
      </c>
      <c r="R129" s="16">
        <v>2</v>
      </c>
    </row>
    <row r="130" spans="1:20" ht="144" x14ac:dyDescent="0.3">
      <c r="A130" s="16" t="s">
        <v>480</v>
      </c>
      <c r="B130" s="17" t="s">
        <v>584</v>
      </c>
      <c r="C130" s="16" t="str">
        <f>IFERROR(INDEX(C:C, MATCH(B130, B:B, 0)), "")</f>
        <v>EBS</v>
      </c>
      <c r="D130" s="16">
        <v>392603</v>
      </c>
      <c r="E130" s="16" t="s">
        <v>40</v>
      </c>
      <c r="F130" s="24">
        <v>45589</v>
      </c>
      <c r="G130" s="24" t="s">
        <v>81</v>
      </c>
      <c r="H130" s="17" t="s">
        <v>811</v>
      </c>
      <c r="I130" s="17" t="s">
        <v>812</v>
      </c>
      <c r="J130" s="19">
        <v>2.0833333333333332E-2</v>
      </c>
      <c r="K130" s="19">
        <v>5.9027777777777776E-2</v>
      </c>
      <c r="L130" s="21">
        <f>CRF[[#This Row],[Time Spent on Configuration]]+CRF[[#This Row],[Time Spent on Review/Testing]]</f>
        <v>7.9861111111111105E-2</v>
      </c>
      <c r="N130" s="16" t="s">
        <v>28</v>
      </c>
      <c r="O130" s="16" t="s">
        <v>245</v>
      </c>
      <c r="P130" s="16" t="s">
        <v>38</v>
      </c>
      <c r="Q130" s="24">
        <v>45589</v>
      </c>
      <c r="R130" s="16">
        <v>5</v>
      </c>
    </row>
    <row r="131" spans="1:20" ht="57.6" x14ac:dyDescent="0.3">
      <c r="A131" s="16" t="s">
        <v>480</v>
      </c>
      <c r="B131" s="17" t="s">
        <v>337</v>
      </c>
      <c r="C131" s="16" t="s">
        <v>338</v>
      </c>
      <c r="D131" s="16">
        <v>395295</v>
      </c>
      <c r="E131" s="16" t="s">
        <v>24</v>
      </c>
      <c r="F131" s="24">
        <v>45590</v>
      </c>
      <c r="G131" s="24" t="s">
        <v>25</v>
      </c>
      <c r="H131" s="17" t="s">
        <v>813</v>
      </c>
      <c r="I131" s="17" t="s">
        <v>814</v>
      </c>
      <c r="J131" s="19">
        <v>2.7777777777777776E-2</v>
      </c>
      <c r="K131" s="19">
        <v>6.5972222222222224E-2</v>
      </c>
      <c r="L131" s="21">
        <f>CRF[[#This Row],[Time Spent on Configuration]]+CRF[[#This Row],[Time Spent on Review/Testing]]</f>
        <v>9.375E-2</v>
      </c>
      <c r="N131" s="16" t="s">
        <v>29</v>
      </c>
      <c r="O131" s="16" t="s">
        <v>245</v>
      </c>
      <c r="P131" s="16" t="s">
        <v>38</v>
      </c>
      <c r="Q131" s="24">
        <v>45591</v>
      </c>
      <c r="R131" s="16">
        <v>5</v>
      </c>
    </row>
    <row r="132" spans="1:20" ht="86.4" x14ac:dyDescent="0.3">
      <c r="A132" s="16" t="s">
        <v>501</v>
      </c>
      <c r="B132" s="17" t="s">
        <v>560</v>
      </c>
      <c r="C132" s="16" t="s">
        <v>23</v>
      </c>
      <c r="D132" s="16">
        <v>396291</v>
      </c>
      <c r="E132" s="16" t="s">
        <v>24</v>
      </c>
      <c r="F132" s="24">
        <v>45600</v>
      </c>
      <c r="G132" s="24" t="s">
        <v>242</v>
      </c>
      <c r="H132" s="17" t="s">
        <v>815</v>
      </c>
      <c r="I132" s="17" t="s">
        <v>816</v>
      </c>
      <c r="J132" s="19">
        <v>2.0833333333333332E-2</v>
      </c>
      <c r="K132" s="19">
        <v>3.4722222222222224E-2</v>
      </c>
      <c r="L132" s="21">
        <f>CRF[[#This Row],[Time Spent on Configuration]]+CRF[[#This Row],[Time Spent on Review/Testing]]</f>
        <v>5.5555555555555552E-2</v>
      </c>
      <c r="N132" s="16" t="s">
        <v>29</v>
      </c>
      <c r="O132" s="16" t="s">
        <v>245</v>
      </c>
      <c r="P132" s="16" t="s">
        <v>38</v>
      </c>
      <c r="Q132" s="24">
        <v>45600</v>
      </c>
      <c r="R132" s="16">
        <v>5</v>
      </c>
      <c r="T132" s="16" t="s">
        <v>801</v>
      </c>
    </row>
    <row r="133" spans="1:20" ht="115.2" x14ac:dyDescent="0.3">
      <c r="A133" s="16" t="s">
        <v>501</v>
      </c>
      <c r="B133" s="17" t="s">
        <v>44</v>
      </c>
      <c r="C133" s="16" t="s">
        <v>257</v>
      </c>
      <c r="D133" s="16">
        <v>394937</v>
      </c>
      <c r="E133" s="16" t="s">
        <v>40</v>
      </c>
      <c r="F133" s="24">
        <v>45601</v>
      </c>
      <c r="G133" s="24" t="s">
        <v>25</v>
      </c>
      <c r="H133" s="17" t="s">
        <v>817</v>
      </c>
      <c r="I133" s="17" t="s">
        <v>818</v>
      </c>
      <c r="J133" s="19">
        <v>3.125E-2</v>
      </c>
      <c r="K133" s="19">
        <v>4.1666666666666664E-2</v>
      </c>
      <c r="L133" s="21">
        <f>CRF[[#This Row],[Time Spent on Configuration]]+CRF[[#This Row],[Time Spent on Review/Testing]]</f>
        <v>7.2916666666666657E-2</v>
      </c>
      <c r="N133" s="16" t="s">
        <v>28</v>
      </c>
      <c r="O133" s="16" t="s">
        <v>29</v>
      </c>
      <c r="P133" s="16" t="s">
        <v>38</v>
      </c>
      <c r="Q133" s="24">
        <v>45601</v>
      </c>
      <c r="R133" s="16">
        <v>5</v>
      </c>
      <c r="T133" s="16" t="s">
        <v>801</v>
      </c>
    </row>
    <row r="134" spans="1:20" ht="216" x14ac:dyDescent="0.3">
      <c r="A134" s="16" t="s">
        <v>501</v>
      </c>
      <c r="B134" s="17" t="s">
        <v>50</v>
      </c>
      <c r="C134" s="16" t="s">
        <v>23</v>
      </c>
      <c r="D134" s="16">
        <v>389759</v>
      </c>
      <c r="E134" s="16" t="s">
        <v>24</v>
      </c>
      <c r="F134" s="24">
        <v>45601</v>
      </c>
      <c r="G134" s="24" t="s">
        <v>242</v>
      </c>
      <c r="H134" s="17" t="s">
        <v>819</v>
      </c>
      <c r="I134" s="17" t="s">
        <v>820</v>
      </c>
      <c r="J134" s="19">
        <v>2.0833333333333332E-2</v>
      </c>
      <c r="K134" s="19">
        <v>3.4722222222222224E-2</v>
      </c>
      <c r="L134" s="21">
        <f>CRF[[#This Row],[Time Spent on Configuration]]+CRF[[#This Row],[Time Spent on Review/Testing]]</f>
        <v>5.5555555555555552E-2</v>
      </c>
      <c r="N134" s="16" t="s">
        <v>36</v>
      </c>
      <c r="O134" s="16" t="s">
        <v>29</v>
      </c>
      <c r="P134" s="16" t="s">
        <v>38</v>
      </c>
      <c r="Q134" s="24">
        <v>45601</v>
      </c>
      <c r="R134" s="16">
        <v>5</v>
      </c>
      <c r="T134" s="16" t="s">
        <v>801</v>
      </c>
    </row>
    <row r="135" spans="1:20" ht="86.4" x14ac:dyDescent="0.3">
      <c r="A135" s="16" t="s">
        <v>501</v>
      </c>
      <c r="B135" s="17" t="s">
        <v>123</v>
      </c>
      <c r="C135" s="16" t="s">
        <v>23</v>
      </c>
      <c r="D135" s="16">
        <v>396772</v>
      </c>
      <c r="E135" s="16" t="s">
        <v>24</v>
      </c>
      <c r="F135" s="24">
        <v>45603</v>
      </c>
      <c r="G135" s="24" t="s">
        <v>242</v>
      </c>
      <c r="H135" s="17" t="s">
        <v>821</v>
      </c>
      <c r="I135" s="17" t="s">
        <v>822</v>
      </c>
      <c r="J135" s="19">
        <v>4.1666666666666664E-2</v>
      </c>
      <c r="K135" s="19">
        <v>2.0833333333333332E-2</v>
      </c>
      <c r="L135" s="21">
        <f>CRF[[#This Row],[Time Spent on Configuration]]+CRF[[#This Row],[Time Spent on Review/Testing]]</f>
        <v>6.25E-2</v>
      </c>
      <c r="N135" s="16" t="s">
        <v>36</v>
      </c>
      <c r="O135" s="16" t="s">
        <v>29</v>
      </c>
      <c r="P135" s="16" t="s">
        <v>114</v>
      </c>
      <c r="Q135" s="24">
        <v>45603</v>
      </c>
      <c r="R135" s="16">
        <v>5</v>
      </c>
      <c r="T135" s="16" t="s">
        <v>801</v>
      </c>
    </row>
    <row r="136" spans="1:20" ht="144" x14ac:dyDescent="0.3">
      <c r="A136" s="16" t="s">
        <v>501</v>
      </c>
      <c r="B136" s="17" t="s">
        <v>126</v>
      </c>
      <c r="C136" s="16" t="s">
        <v>120</v>
      </c>
      <c r="D136" s="16">
        <v>398171</v>
      </c>
      <c r="E136" s="16" t="s">
        <v>40</v>
      </c>
      <c r="F136" s="24">
        <v>45611</v>
      </c>
      <c r="G136" s="24" t="s">
        <v>81</v>
      </c>
      <c r="H136" s="17" t="s">
        <v>823</v>
      </c>
      <c r="I136" s="17" t="s">
        <v>824</v>
      </c>
      <c r="J136" s="19">
        <v>2.0833333333333332E-2</v>
      </c>
      <c r="K136" s="19">
        <v>6.9444444444444448E-2</v>
      </c>
      <c r="L136" s="21">
        <f>CRF[[#This Row],[Time Spent on Configuration]]+CRF[[#This Row],[Time Spent on Review/Testing]]</f>
        <v>9.0277777777777776E-2</v>
      </c>
      <c r="N136" s="16" t="s">
        <v>36</v>
      </c>
      <c r="O136" s="16" t="s">
        <v>29</v>
      </c>
      <c r="P136" s="16" t="s">
        <v>288</v>
      </c>
      <c r="Q136" s="24">
        <v>45614</v>
      </c>
      <c r="R136" s="16">
        <v>5</v>
      </c>
    </row>
    <row r="137" spans="1:20" ht="86.4" x14ac:dyDescent="0.3">
      <c r="A137" s="16" t="s">
        <v>501</v>
      </c>
      <c r="B137" s="17" t="s">
        <v>57</v>
      </c>
      <c r="C137" s="16" t="s">
        <v>58</v>
      </c>
      <c r="D137" s="16">
        <v>398020</v>
      </c>
      <c r="E137" s="16" t="s">
        <v>24</v>
      </c>
      <c r="F137" s="24">
        <v>45617</v>
      </c>
      <c r="G137" s="24" t="s">
        <v>766</v>
      </c>
      <c r="H137" s="17" t="s">
        <v>825</v>
      </c>
      <c r="I137" s="17" t="s">
        <v>826</v>
      </c>
      <c r="J137" s="19">
        <v>2.0833333333333332E-2</v>
      </c>
      <c r="K137" s="19">
        <v>2.7777777777777776E-2</v>
      </c>
      <c r="L137" s="21">
        <f>CRF[[#This Row],[Time Spent on Configuration]]+CRF[[#This Row],[Time Spent on Review/Testing]]</f>
        <v>4.8611111111111105E-2</v>
      </c>
      <c r="N137" s="16" t="s">
        <v>36</v>
      </c>
      <c r="O137" s="16" t="s">
        <v>29</v>
      </c>
      <c r="P137" s="16" t="s">
        <v>288</v>
      </c>
      <c r="Q137" s="24">
        <v>45617</v>
      </c>
      <c r="R137" s="16">
        <v>5</v>
      </c>
    </row>
    <row r="138" spans="1:20" ht="216" x14ac:dyDescent="0.3">
      <c r="A138" s="16" t="s">
        <v>501</v>
      </c>
      <c r="B138" s="17" t="s">
        <v>417</v>
      </c>
      <c r="C138" s="16" t="s">
        <v>418</v>
      </c>
      <c r="D138" s="16">
        <v>398627</v>
      </c>
      <c r="E138" s="16" t="s">
        <v>40</v>
      </c>
      <c r="F138" s="24">
        <v>45623</v>
      </c>
      <c r="G138" s="24" t="s">
        <v>231</v>
      </c>
      <c r="H138" s="17" t="s">
        <v>827</v>
      </c>
      <c r="I138" s="17" t="s">
        <v>828</v>
      </c>
      <c r="J138" s="19">
        <v>1.3888888888888888E-2</v>
      </c>
      <c r="K138" s="19">
        <v>2.0833333333333332E-2</v>
      </c>
      <c r="L138" s="21">
        <f>CRF[[#This Row],[Time Spent on Configuration]]+CRF[[#This Row],[Time Spent on Review/Testing]]</f>
        <v>3.4722222222222224E-2</v>
      </c>
      <c r="N138" s="16" t="s">
        <v>28</v>
      </c>
      <c r="O138" s="16" t="s">
        <v>29</v>
      </c>
      <c r="P138" s="16" t="s">
        <v>114</v>
      </c>
      <c r="Q138" s="24">
        <v>45623</v>
      </c>
      <c r="R138" s="16">
        <v>5</v>
      </c>
    </row>
    <row r="139" spans="1:20" ht="43.2" x14ac:dyDescent="0.3">
      <c r="A139" s="16" t="s">
        <v>501</v>
      </c>
      <c r="B139" s="17" t="s">
        <v>126</v>
      </c>
      <c r="C139" s="16" t="s">
        <v>120</v>
      </c>
      <c r="D139" s="16">
        <v>400299</v>
      </c>
      <c r="E139" s="16" t="s">
        <v>40</v>
      </c>
      <c r="F139" s="24">
        <v>45624</v>
      </c>
      <c r="G139" s="24" t="s">
        <v>81</v>
      </c>
      <c r="H139" s="17" t="s">
        <v>829</v>
      </c>
      <c r="I139" s="17" t="s">
        <v>830</v>
      </c>
      <c r="J139" s="19">
        <v>2.0833333333333332E-2</v>
      </c>
      <c r="K139" s="19">
        <v>2.7777777777777776E-2</v>
      </c>
      <c r="L139" s="21">
        <f>CRF[[#This Row],[Time Spent on Configuration]]+CRF[[#This Row],[Time Spent on Review/Testing]]</f>
        <v>4.8611111111111105E-2</v>
      </c>
      <c r="N139" s="16" t="s">
        <v>36</v>
      </c>
      <c r="O139" s="16" t="s">
        <v>29</v>
      </c>
      <c r="P139" s="16" t="s">
        <v>288</v>
      </c>
      <c r="Q139" s="24">
        <v>45625</v>
      </c>
      <c r="R139" s="16">
        <v>5</v>
      </c>
    </row>
    <row r="140" spans="1:20" ht="57.6" x14ac:dyDescent="0.3">
      <c r="A140" s="16" t="s">
        <v>512</v>
      </c>
      <c r="B140" s="17" t="s">
        <v>217</v>
      </c>
      <c r="C140" s="16" t="s">
        <v>23</v>
      </c>
      <c r="D140" s="16">
        <v>398176</v>
      </c>
      <c r="E140" s="16" t="s">
        <v>40</v>
      </c>
      <c r="F140" s="24">
        <v>45630</v>
      </c>
      <c r="G140" s="24" t="s">
        <v>231</v>
      </c>
      <c r="H140" s="17" t="s">
        <v>831</v>
      </c>
      <c r="I140" s="17" t="s">
        <v>832</v>
      </c>
      <c r="J140" s="19">
        <v>5.5555555555555552E-2</v>
      </c>
      <c r="K140" s="19"/>
      <c r="L140" s="21">
        <f>CRF[[#This Row],[Time Spent on Configuration]]+CRF[[#This Row],[Time Spent on Review/Testing]]</f>
        <v>5.5555555555555552E-2</v>
      </c>
      <c r="O140" s="16" t="s">
        <v>28</v>
      </c>
      <c r="P140" s="16" t="s">
        <v>114</v>
      </c>
      <c r="Q140" s="24">
        <v>45630</v>
      </c>
      <c r="R140" s="16">
        <v>5</v>
      </c>
    </row>
    <row r="141" spans="1:20" ht="331.2" x14ac:dyDescent="0.3">
      <c r="A141" s="16" t="s">
        <v>512</v>
      </c>
      <c r="B141" s="17" t="s">
        <v>123</v>
      </c>
      <c r="C141" s="16" t="s">
        <v>23</v>
      </c>
      <c r="D141" s="16">
        <v>398363</v>
      </c>
      <c r="E141" s="16" t="s">
        <v>24</v>
      </c>
      <c r="F141" s="24">
        <v>45632</v>
      </c>
      <c r="G141" s="24" t="s">
        <v>81</v>
      </c>
      <c r="H141" s="17" t="s">
        <v>833</v>
      </c>
      <c r="I141" s="17" t="s">
        <v>834</v>
      </c>
      <c r="J141" s="19">
        <v>8.3333333333333329E-2</v>
      </c>
      <c r="K141" s="19">
        <v>5.5555555555555552E-2</v>
      </c>
      <c r="L141" s="21">
        <f>CRF[[#This Row],[Time Spent on Configuration]]+CRF[[#This Row],[Time Spent on Review/Testing]]</f>
        <v>0.1388888888888889</v>
      </c>
      <c r="N141" s="16" t="s">
        <v>28</v>
      </c>
      <c r="O141" s="16" t="s">
        <v>29</v>
      </c>
      <c r="P141" s="16" t="s">
        <v>114</v>
      </c>
      <c r="Q141" s="24">
        <v>45635</v>
      </c>
      <c r="R141" s="16">
        <v>5</v>
      </c>
    </row>
    <row r="142" spans="1:20" ht="57.6" x14ac:dyDescent="0.3">
      <c r="A142" s="16" t="s">
        <v>512</v>
      </c>
      <c r="B142" s="17" t="s">
        <v>267</v>
      </c>
      <c r="C142" s="16" t="s">
        <v>120</v>
      </c>
      <c r="D142" s="16">
        <v>401666</v>
      </c>
      <c r="E142" s="16" t="s">
        <v>40</v>
      </c>
      <c r="F142" s="24">
        <v>45632</v>
      </c>
      <c r="G142" s="24" t="s">
        <v>53</v>
      </c>
      <c r="H142" s="16" t="s">
        <v>835</v>
      </c>
      <c r="I142" s="17" t="s">
        <v>836</v>
      </c>
      <c r="J142" s="19">
        <v>2.0833333333333332E-2</v>
      </c>
      <c r="K142" s="19">
        <v>3.4722222222222224E-2</v>
      </c>
      <c r="L142" s="21">
        <f>CRF[[#This Row],[Time Spent on Configuration]]+CRF[[#This Row],[Time Spent on Review/Testing]]</f>
        <v>5.5555555555555552E-2</v>
      </c>
      <c r="N142" s="16" t="s">
        <v>444</v>
      </c>
      <c r="O142" s="16" t="s">
        <v>29</v>
      </c>
      <c r="P142" s="16" t="s">
        <v>288</v>
      </c>
      <c r="Q142" s="24">
        <v>45632</v>
      </c>
      <c r="R142" s="16">
        <v>5</v>
      </c>
    </row>
    <row r="143" spans="1:20" ht="158.4" x14ac:dyDescent="0.3">
      <c r="A143" s="16" t="s">
        <v>512</v>
      </c>
      <c r="B143" s="17" t="s">
        <v>584</v>
      </c>
      <c r="C143" s="16" t="str">
        <f>IFERROR(INDEX(C:C, MATCH(B143, B:B, 0)), "")</f>
        <v>EBS</v>
      </c>
      <c r="D143" s="16">
        <v>394682</v>
      </c>
      <c r="E143" s="16" t="s">
        <v>40</v>
      </c>
      <c r="F143" s="24">
        <v>45632</v>
      </c>
      <c r="G143" s="24" t="s">
        <v>81</v>
      </c>
      <c r="H143" s="17" t="s">
        <v>837</v>
      </c>
      <c r="I143" s="17" t="s">
        <v>838</v>
      </c>
      <c r="J143" s="19">
        <v>4.1666666666666664E-2</v>
      </c>
      <c r="K143" s="19">
        <v>6.9444444444444448E-2</v>
      </c>
      <c r="L143" s="21">
        <f>CRF[[#This Row],[Time Spent on Configuration]]+CRF[[#This Row],[Time Spent on Review/Testing]]</f>
        <v>0.1111111111111111</v>
      </c>
      <c r="N143" s="16" t="s">
        <v>28</v>
      </c>
      <c r="O143" s="16" t="s">
        <v>29</v>
      </c>
      <c r="P143" s="16" t="s">
        <v>38</v>
      </c>
      <c r="Q143" s="24">
        <v>45635</v>
      </c>
      <c r="R143" s="16">
        <v>5</v>
      </c>
    </row>
    <row r="144" spans="1:20" ht="216" x14ac:dyDescent="0.3">
      <c r="A144" s="16" t="s">
        <v>512</v>
      </c>
      <c r="B144" s="17" t="s">
        <v>123</v>
      </c>
      <c r="C144" s="16" t="s">
        <v>23</v>
      </c>
      <c r="D144" s="16">
        <v>402722</v>
      </c>
      <c r="E144" s="16" t="s">
        <v>24</v>
      </c>
      <c r="F144" s="24">
        <v>45643</v>
      </c>
      <c r="G144" s="24" t="s">
        <v>25</v>
      </c>
      <c r="H144" s="17" t="s">
        <v>839</v>
      </c>
      <c r="I144" s="17" t="s">
        <v>840</v>
      </c>
      <c r="J144" s="19">
        <v>3.4722222222222224E-2</v>
      </c>
      <c r="K144" s="19"/>
      <c r="L144" s="21">
        <f>CRF[[#This Row],[Time Spent on Configuration]]+CRF[[#This Row],[Time Spent on Review/Testing]]</f>
        <v>3.4722222222222224E-2</v>
      </c>
      <c r="N144" s="16" t="s">
        <v>29</v>
      </c>
      <c r="P144" s="16" t="s">
        <v>114</v>
      </c>
      <c r="Q144" s="24">
        <v>45643</v>
      </c>
      <c r="R144" s="16">
        <v>5</v>
      </c>
    </row>
    <row r="145" spans="1:18" ht="158.4" x14ac:dyDescent="0.3">
      <c r="A145" s="16" t="s">
        <v>512</v>
      </c>
      <c r="B145" s="17" t="s">
        <v>93</v>
      </c>
      <c r="C145" s="16" t="s">
        <v>23</v>
      </c>
      <c r="D145" s="16">
        <v>401524</v>
      </c>
      <c r="E145" s="16" t="s">
        <v>40</v>
      </c>
      <c r="F145" s="24">
        <v>45644</v>
      </c>
      <c r="G145" s="24" t="s">
        <v>25</v>
      </c>
      <c r="H145" s="17" t="s">
        <v>841</v>
      </c>
      <c r="I145" s="17" t="s">
        <v>842</v>
      </c>
      <c r="J145" s="19">
        <v>3.4722222222222224E-2</v>
      </c>
      <c r="K145" s="19">
        <v>4.1666666666666664E-2</v>
      </c>
      <c r="L145" s="21">
        <f>CRF[[#This Row],[Time Spent on Configuration]]+CRF[[#This Row],[Time Spent on Review/Testing]]</f>
        <v>7.6388888888888895E-2</v>
      </c>
      <c r="N145" s="16" t="s">
        <v>28</v>
      </c>
      <c r="O145" s="16" t="s">
        <v>29</v>
      </c>
      <c r="P145" s="16" t="s">
        <v>38</v>
      </c>
      <c r="Q145" s="24">
        <v>45644</v>
      </c>
      <c r="R145" s="16">
        <v>5</v>
      </c>
    </row>
    <row r="146" spans="1:18" ht="72" x14ac:dyDescent="0.3">
      <c r="A146" s="16" t="s">
        <v>512</v>
      </c>
      <c r="B146" s="17" t="s">
        <v>843</v>
      </c>
      <c r="C146" s="16" t="s">
        <v>23</v>
      </c>
      <c r="D146" s="16">
        <v>403145</v>
      </c>
      <c r="E146" s="16" t="s">
        <v>24</v>
      </c>
      <c r="F146" s="24">
        <v>45644</v>
      </c>
      <c r="G146" s="24" t="s">
        <v>242</v>
      </c>
      <c r="H146" s="17" t="s">
        <v>844</v>
      </c>
      <c r="I146" s="17" t="s">
        <v>845</v>
      </c>
      <c r="J146" s="19">
        <v>3.4722222222222224E-2</v>
      </c>
      <c r="K146" s="19">
        <v>4.1666666666666664E-2</v>
      </c>
      <c r="L146" s="21">
        <f>CRF[[#This Row],[Time Spent on Configuration]]+CRF[[#This Row],[Time Spent on Review/Testing]]</f>
        <v>7.6388888888888895E-2</v>
      </c>
      <c r="N146" s="16" t="s">
        <v>28</v>
      </c>
      <c r="O146" s="16" t="s">
        <v>29</v>
      </c>
      <c r="P146" s="16" t="s">
        <v>288</v>
      </c>
      <c r="Q146" s="24">
        <v>45644</v>
      </c>
      <c r="R146" s="16">
        <v>5</v>
      </c>
    </row>
    <row r="147" spans="1:18" ht="172.8" x14ac:dyDescent="0.3">
      <c r="A147" s="16" t="s">
        <v>512</v>
      </c>
      <c r="B147" s="17" t="s">
        <v>843</v>
      </c>
      <c r="C147" s="16" t="s">
        <v>23</v>
      </c>
      <c r="D147" s="16">
        <v>403055</v>
      </c>
      <c r="E147" s="16" t="s">
        <v>24</v>
      </c>
      <c r="F147" s="24">
        <v>45645</v>
      </c>
      <c r="G147" s="24" t="s">
        <v>242</v>
      </c>
      <c r="H147" s="17" t="s">
        <v>846</v>
      </c>
      <c r="I147" s="17" t="s">
        <v>847</v>
      </c>
      <c r="J147" s="19">
        <v>4.1666666666666664E-2</v>
      </c>
      <c r="K147" s="19">
        <v>6.25E-2</v>
      </c>
      <c r="L147" s="21">
        <f>CRF[[#This Row],[Time Spent on Configuration]]+CRF[[#This Row],[Time Spent on Review/Testing]]</f>
        <v>0.10416666666666666</v>
      </c>
      <c r="N147" s="16" t="s">
        <v>28</v>
      </c>
      <c r="O147" s="16" t="s">
        <v>29</v>
      </c>
      <c r="P147" s="16" t="s">
        <v>288</v>
      </c>
      <c r="Q147" s="24">
        <v>45644</v>
      </c>
      <c r="R147" s="16">
        <v>1</v>
      </c>
    </row>
    <row r="148" spans="1:18" ht="259.2" x14ac:dyDescent="0.3">
      <c r="A148" s="16" t="s">
        <v>512</v>
      </c>
      <c r="B148" s="17" t="s">
        <v>93</v>
      </c>
      <c r="C148" s="16" t="s">
        <v>23</v>
      </c>
      <c r="D148" s="16">
        <v>373055</v>
      </c>
      <c r="E148" s="16" t="s">
        <v>40</v>
      </c>
      <c r="F148" s="24">
        <v>45649</v>
      </c>
      <c r="G148" s="24" t="s">
        <v>242</v>
      </c>
      <c r="H148" s="17" t="s">
        <v>848</v>
      </c>
      <c r="I148" s="17" t="s">
        <v>849</v>
      </c>
      <c r="J148" s="19">
        <v>6.25E-2</v>
      </c>
      <c r="K148" s="19">
        <v>6.25E-2</v>
      </c>
      <c r="L148" s="21">
        <f>CRF[[#This Row],[Time Spent on Configuration]]+CRF[[#This Row],[Time Spent on Review/Testing]]</f>
        <v>0.125</v>
      </c>
      <c r="N148" s="16" t="s">
        <v>28</v>
      </c>
      <c r="O148" s="16" t="s">
        <v>29</v>
      </c>
      <c r="P148" s="16" t="s">
        <v>291</v>
      </c>
      <c r="Q148" s="24">
        <v>45649</v>
      </c>
      <c r="R148" s="16">
        <v>5</v>
      </c>
    </row>
    <row r="149" spans="1:18" ht="72" x14ac:dyDescent="0.3">
      <c r="A149" s="16" t="s">
        <v>512</v>
      </c>
      <c r="B149" s="17" t="s">
        <v>165</v>
      </c>
      <c r="C149" s="16" t="s">
        <v>581</v>
      </c>
      <c r="D149" s="16">
        <v>403338</v>
      </c>
      <c r="E149" s="16" t="s">
        <v>40</v>
      </c>
      <c r="F149" s="24">
        <v>45650</v>
      </c>
      <c r="G149" s="24" t="s">
        <v>25</v>
      </c>
      <c r="H149" s="17" t="s">
        <v>850</v>
      </c>
      <c r="I149" s="17" t="s">
        <v>851</v>
      </c>
      <c r="J149" s="19">
        <v>1.3888888888888888E-2</v>
      </c>
      <c r="K149" s="19">
        <v>4.1666666666666664E-2</v>
      </c>
      <c r="L149" s="21">
        <f>CRF[[#This Row],[Time Spent on Configuration]]+CRF[[#This Row],[Time Spent on Review/Testing]]</f>
        <v>5.5555555555555552E-2</v>
      </c>
      <c r="N149" s="16" t="s">
        <v>28</v>
      </c>
      <c r="O149" s="16" t="s">
        <v>29</v>
      </c>
      <c r="P149" s="16" t="s">
        <v>114</v>
      </c>
      <c r="Q149" s="24">
        <v>45650</v>
      </c>
      <c r="R149" s="16">
        <v>5</v>
      </c>
    </row>
  </sheetData>
  <sortState xmlns:xlrd2="http://schemas.microsoft.com/office/spreadsheetml/2017/richdata2" ref="A2:D2">
    <sortCondition ref="A2"/>
  </sortState>
  <dataConsolid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workbookViewId="0"/>
  </sheetViews>
  <sheetFormatPr defaultColWidth="9.109375" defaultRowHeight="13.8" x14ac:dyDescent="0.3"/>
  <cols>
    <col min="1" max="1" width="10.88671875" style="3" bestFit="1" customWidth="1"/>
    <col min="2" max="2" width="23.88671875" style="3" customWidth="1"/>
    <col min="3" max="3" width="20.6640625" style="3" customWidth="1"/>
    <col min="4" max="4" width="15.109375" style="3" bestFit="1" customWidth="1"/>
    <col min="5" max="5" width="20.33203125" style="3" customWidth="1"/>
    <col min="6" max="6" width="21.88671875" style="3" bestFit="1" customWidth="1"/>
    <col min="7" max="16384" width="9.109375" style="3"/>
  </cols>
  <sheetData>
    <row r="1" spans="1:6" s="2" customFormat="1" ht="27.6" x14ac:dyDescent="0.3">
      <c r="A1" s="1" t="s">
        <v>1</v>
      </c>
      <c r="B1" s="1" t="s">
        <v>2</v>
      </c>
      <c r="C1" s="1" t="s">
        <v>878</v>
      </c>
      <c r="D1" s="1" t="s">
        <v>5</v>
      </c>
      <c r="E1" s="1" t="s">
        <v>7</v>
      </c>
      <c r="F1" s="1" t="s">
        <v>879</v>
      </c>
    </row>
    <row r="2" spans="1:6" x14ac:dyDescent="0.3">
      <c r="A2" s="3" t="s">
        <v>216</v>
      </c>
      <c r="B2" s="4" t="s">
        <v>852</v>
      </c>
      <c r="C2" s="3" t="s">
        <v>880</v>
      </c>
      <c r="D2" s="3" t="s">
        <v>853</v>
      </c>
      <c r="E2" s="5" t="s">
        <v>881</v>
      </c>
      <c r="F2" s="3">
        <v>2.2999999999999998</v>
      </c>
    </row>
    <row r="3" spans="1:6" x14ac:dyDescent="0.3">
      <c r="A3" s="3" t="s">
        <v>216</v>
      </c>
      <c r="B3" s="4" t="s">
        <v>852</v>
      </c>
      <c r="C3" s="3" t="s">
        <v>880</v>
      </c>
      <c r="D3" s="3" t="s">
        <v>40</v>
      </c>
      <c r="E3" s="5" t="s">
        <v>881</v>
      </c>
      <c r="F3" s="3">
        <v>0.45</v>
      </c>
    </row>
    <row r="4" spans="1:6" x14ac:dyDescent="0.3">
      <c r="A4" s="3" t="s">
        <v>216</v>
      </c>
      <c r="B4" s="4" t="s">
        <v>852</v>
      </c>
      <c r="C4" s="3" t="s">
        <v>880</v>
      </c>
      <c r="D4" s="3" t="s">
        <v>40</v>
      </c>
      <c r="E4" s="5" t="s">
        <v>882</v>
      </c>
      <c r="F4" s="3">
        <v>0.3</v>
      </c>
    </row>
    <row r="5" spans="1:6" x14ac:dyDescent="0.3">
      <c r="A5" s="3" t="s">
        <v>463</v>
      </c>
      <c r="B5" s="4" t="s">
        <v>852</v>
      </c>
      <c r="C5" s="3" t="s">
        <v>880</v>
      </c>
      <c r="D5" s="3" t="s">
        <v>40</v>
      </c>
      <c r="E5" s="5" t="s">
        <v>882</v>
      </c>
      <c r="F5" s="3">
        <v>0.3</v>
      </c>
    </row>
    <row r="6" spans="1:6" x14ac:dyDescent="0.3">
      <c r="A6" s="3" t="s">
        <v>216</v>
      </c>
      <c r="B6" s="4" t="s">
        <v>854</v>
      </c>
      <c r="C6" s="3" t="s">
        <v>855</v>
      </c>
      <c r="D6" s="3" t="s">
        <v>877</v>
      </c>
      <c r="E6" s="5" t="s">
        <v>883</v>
      </c>
      <c r="F6" s="3">
        <v>0.45</v>
      </c>
    </row>
    <row r="7" spans="1:6" x14ac:dyDescent="0.3">
      <c r="A7" s="3" t="s">
        <v>216</v>
      </c>
      <c r="B7" s="4" t="s">
        <v>856</v>
      </c>
      <c r="C7" s="3" t="s">
        <v>385</v>
      </c>
      <c r="D7" s="3" t="s">
        <v>877</v>
      </c>
      <c r="E7" s="5" t="s">
        <v>883</v>
      </c>
      <c r="F7" s="3">
        <v>0.3</v>
      </c>
    </row>
    <row r="8" spans="1:6" x14ac:dyDescent="0.3">
      <c r="A8" s="3" t="s">
        <v>216</v>
      </c>
      <c r="B8" s="4" t="s">
        <v>401</v>
      </c>
      <c r="C8" s="3" t="s">
        <v>402</v>
      </c>
      <c r="D8" s="3" t="s">
        <v>877</v>
      </c>
      <c r="E8" s="5" t="s">
        <v>883</v>
      </c>
      <c r="F8" s="3">
        <v>2.2999999999999998</v>
      </c>
    </row>
    <row r="9" spans="1:6" x14ac:dyDescent="0.3">
      <c r="A9" s="3" t="s">
        <v>216</v>
      </c>
      <c r="B9" s="4" t="s">
        <v>873</v>
      </c>
      <c r="C9" s="3" t="s">
        <v>857</v>
      </c>
      <c r="D9" s="3" t="s">
        <v>877</v>
      </c>
      <c r="E9" s="5" t="s">
        <v>884</v>
      </c>
      <c r="F9" s="3">
        <v>1</v>
      </c>
    </row>
    <row r="10" spans="1:6" x14ac:dyDescent="0.3">
      <c r="A10" s="3" t="s">
        <v>216</v>
      </c>
      <c r="B10" s="4" t="s">
        <v>874</v>
      </c>
      <c r="C10" s="3" t="s">
        <v>104</v>
      </c>
      <c r="D10" s="3" t="s">
        <v>877</v>
      </c>
      <c r="E10" s="5" t="s">
        <v>883</v>
      </c>
      <c r="F10" s="3">
        <v>0.3</v>
      </c>
    </row>
    <row r="11" spans="1:6" x14ac:dyDescent="0.3">
      <c r="A11" s="3" t="s">
        <v>216</v>
      </c>
      <c r="B11" s="4" t="s">
        <v>885</v>
      </c>
      <c r="C11" s="3" t="s">
        <v>868</v>
      </c>
      <c r="D11" s="3" t="s">
        <v>877</v>
      </c>
      <c r="E11" s="5" t="s">
        <v>883</v>
      </c>
      <c r="F11" s="3">
        <v>3.3</v>
      </c>
    </row>
    <row r="12" spans="1:6" x14ac:dyDescent="0.3">
      <c r="A12" s="3" t="s">
        <v>216</v>
      </c>
      <c r="B12" s="4" t="s">
        <v>885</v>
      </c>
      <c r="C12" s="3" t="s">
        <v>868</v>
      </c>
      <c r="D12" s="3" t="s">
        <v>877</v>
      </c>
      <c r="E12" s="5" t="s">
        <v>883</v>
      </c>
      <c r="F12" s="3">
        <v>1.3</v>
      </c>
    </row>
    <row r="13" spans="1:6" x14ac:dyDescent="0.3">
      <c r="A13" s="3" t="s">
        <v>216</v>
      </c>
      <c r="B13" s="4" t="s">
        <v>875</v>
      </c>
      <c r="C13" s="3" t="s">
        <v>868</v>
      </c>
      <c r="D13" s="3" t="s">
        <v>877</v>
      </c>
      <c r="E13" s="5" t="s">
        <v>882</v>
      </c>
      <c r="F13" s="3">
        <v>0.45</v>
      </c>
    </row>
    <row r="14" spans="1:6" x14ac:dyDescent="0.3">
      <c r="A14" s="3" t="s">
        <v>216</v>
      </c>
      <c r="B14" s="4" t="s">
        <v>858</v>
      </c>
      <c r="C14" s="3" t="s">
        <v>859</v>
      </c>
      <c r="D14" s="3" t="s">
        <v>877</v>
      </c>
      <c r="E14" s="5" t="s">
        <v>883</v>
      </c>
      <c r="F14" s="3">
        <v>3</v>
      </c>
    </row>
    <row r="15" spans="1:6" x14ac:dyDescent="0.3">
      <c r="A15" s="3" t="s">
        <v>216</v>
      </c>
      <c r="B15" s="4" t="s">
        <v>858</v>
      </c>
      <c r="C15" s="3" t="s">
        <v>859</v>
      </c>
      <c r="D15" s="3" t="s">
        <v>877</v>
      </c>
      <c r="E15" s="5" t="s">
        <v>886</v>
      </c>
      <c r="F15" s="3">
        <v>2.2999999999999998</v>
      </c>
    </row>
    <row r="16" spans="1:6" x14ac:dyDescent="0.3">
      <c r="A16" s="3" t="s">
        <v>216</v>
      </c>
      <c r="B16" s="4" t="s">
        <v>858</v>
      </c>
      <c r="C16" s="3" t="s">
        <v>859</v>
      </c>
      <c r="D16" s="3" t="s">
        <v>877</v>
      </c>
      <c r="E16" s="5" t="s">
        <v>883</v>
      </c>
      <c r="F16" s="3">
        <v>4</v>
      </c>
    </row>
    <row r="17" spans="1:6" x14ac:dyDescent="0.3">
      <c r="A17" s="3" t="s">
        <v>216</v>
      </c>
      <c r="B17" s="4" t="s">
        <v>858</v>
      </c>
      <c r="C17" s="3" t="s">
        <v>859</v>
      </c>
      <c r="D17" s="3" t="s">
        <v>877</v>
      </c>
      <c r="E17" s="5" t="s">
        <v>883</v>
      </c>
      <c r="F17" s="3">
        <v>4</v>
      </c>
    </row>
    <row r="18" spans="1:6" x14ac:dyDescent="0.3">
      <c r="A18" s="3" t="s">
        <v>216</v>
      </c>
      <c r="B18" s="4" t="s">
        <v>860</v>
      </c>
      <c r="C18" s="3" t="s">
        <v>859</v>
      </c>
      <c r="D18" s="3" t="s">
        <v>877</v>
      </c>
      <c r="E18" s="5" t="s">
        <v>884</v>
      </c>
      <c r="F18" s="3">
        <v>0.3</v>
      </c>
    </row>
    <row r="19" spans="1:6" x14ac:dyDescent="0.3">
      <c r="A19" s="3" t="s">
        <v>216</v>
      </c>
      <c r="B19" s="4" t="s">
        <v>861</v>
      </c>
      <c r="C19" s="3" t="s">
        <v>862</v>
      </c>
      <c r="D19" s="3" t="s">
        <v>877</v>
      </c>
      <c r="E19" s="5" t="s">
        <v>883</v>
      </c>
      <c r="F19" s="3">
        <v>0.45</v>
      </c>
    </row>
    <row r="20" spans="1:6" x14ac:dyDescent="0.3">
      <c r="A20" s="3" t="s">
        <v>216</v>
      </c>
      <c r="B20" s="4" t="s">
        <v>863</v>
      </c>
      <c r="C20" s="3" t="s">
        <v>859</v>
      </c>
      <c r="D20" s="3" t="s">
        <v>877</v>
      </c>
      <c r="E20" s="5" t="s">
        <v>884</v>
      </c>
      <c r="F20" s="3">
        <v>1</v>
      </c>
    </row>
    <row r="21" spans="1:6" x14ac:dyDescent="0.3">
      <c r="A21" s="3" t="s">
        <v>216</v>
      </c>
      <c r="B21" s="4" t="s">
        <v>864</v>
      </c>
      <c r="C21" s="3" t="s">
        <v>880</v>
      </c>
      <c r="D21" s="3" t="s">
        <v>40</v>
      </c>
      <c r="E21" s="5" t="s">
        <v>881</v>
      </c>
      <c r="F21" s="3">
        <v>0.3</v>
      </c>
    </row>
    <row r="22" spans="1:6" x14ac:dyDescent="0.3">
      <c r="A22" s="3" t="s">
        <v>216</v>
      </c>
      <c r="B22" s="4" t="s">
        <v>887</v>
      </c>
      <c r="C22" s="3" t="s">
        <v>868</v>
      </c>
      <c r="D22" s="3" t="s">
        <v>877</v>
      </c>
      <c r="E22" s="5" t="s">
        <v>883</v>
      </c>
      <c r="F22" s="3">
        <v>0.3</v>
      </c>
    </row>
    <row r="23" spans="1:6" x14ac:dyDescent="0.3">
      <c r="A23" s="3" t="s">
        <v>463</v>
      </c>
      <c r="B23" s="4" t="s">
        <v>865</v>
      </c>
      <c r="C23" s="3" t="s">
        <v>866</v>
      </c>
      <c r="D23" s="3" t="s">
        <v>877</v>
      </c>
      <c r="E23" s="5" t="s">
        <v>883</v>
      </c>
      <c r="F23" s="3">
        <v>0.3</v>
      </c>
    </row>
    <row r="24" spans="1:6" x14ac:dyDescent="0.3">
      <c r="A24" s="3" t="s">
        <v>463</v>
      </c>
      <c r="B24" s="4" t="s">
        <v>873</v>
      </c>
      <c r="C24" s="3" t="s">
        <v>857</v>
      </c>
      <c r="D24" s="3" t="s">
        <v>877</v>
      </c>
      <c r="E24" s="5" t="s">
        <v>883</v>
      </c>
      <c r="F24" s="3">
        <v>0.45</v>
      </c>
    </row>
    <row r="25" spans="1:6" x14ac:dyDescent="0.3">
      <c r="A25" s="3" t="s">
        <v>463</v>
      </c>
      <c r="B25" s="4" t="s">
        <v>888</v>
      </c>
      <c r="C25" s="3" t="s">
        <v>402</v>
      </c>
      <c r="D25" s="3" t="s">
        <v>877</v>
      </c>
      <c r="E25" s="5" t="s">
        <v>884</v>
      </c>
      <c r="F25" s="3">
        <v>0.3</v>
      </c>
    </row>
    <row r="26" spans="1:6" x14ac:dyDescent="0.3">
      <c r="A26" s="3" t="s">
        <v>463</v>
      </c>
      <c r="B26" s="4" t="s">
        <v>867</v>
      </c>
      <c r="C26" s="3" t="s">
        <v>385</v>
      </c>
      <c r="D26" s="3" t="s">
        <v>877</v>
      </c>
      <c r="E26" s="5" t="s">
        <v>882</v>
      </c>
      <c r="F26" s="3">
        <v>1</v>
      </c>
    </row>
    <row r="27" spans="1:6" x14ac:dyDescent="0.3">
      <c r="A27" s="3" t="s">
        <v>463</v>
      </c>
      <c r="B27" s="4" t="s">
        <v>861</v>
      </c>
      <c r="C27" s="3" t="s">
        <v>862</v>
      </c>
      <c r="D27" s="3" t="s">
        <v>877</v>
      </c>
      <c r="E27" s="5" t="s">
        <v>883</v>
      </c>
      <c r="F27" s="3">
        <v>3.3</v>
      </c>
    </row>
    <row r="28" spans="1:6" x14ac:dyDescent="0.3">
      <c r="A28" s="3" t="s">
        <v>463</v>
      </c>
      <c r="B28" s="4" t="s">
        <v>887</v>
      </c>
      <c r="C28" s="3" t="s">
        <v>868</v>
      </c>
      <c r="D28" s="3" t="s">
        <v>877</v>
      </c>
      <c r="E28" s="5" t="s">
        <v>883</v>
      </c>
      <c r="F28" s="3">
        <v>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81"/>
  <sheetViews>
    <sheetView workbookViewId="0">
      <selection activeCell="B9" sqref="B9"/>
    </sheetView>
  </sheetViews>
  <sheetFormatPr defaultColWidth="9.109375" defaultRowHeight="13.8" x14ac:dyDescent="0.3"/>
  <cols>
    <col min="1" max="1" width="19.5546875" style="6" bestFit="1" customWidth="1"/>
    <col min="2" max="2" width="16.88671875" style="8" bestFit="1" customWidth="1"/>
    <col min="3" max="3" width="15.44140625" style="8" bestFit="1" customWidth="1"/>
    <col min="4" max="4" width="16.44140625" style="8" bestFit="1" customWidth="1"/>
    <col min="5" max="5" width="19.88671875" style="8" bestFit="1" customWidth="1"/>
    <col min="6" max="6" width="13.109375" style="8" bestFit="1" customWidth="1"/>
    <col min="7" max="7" width="10" style="8" bestFit="1" customWidth="1"/>
    <col min="8" max="8" width="11.33203125" style="8" bestFit="1" customWidth="1"/>
    <col min="9" max="9" width="22" style="8" bestFit="1" customWidth="1"/>
    <col min="10" max="10" width="24.33203125" style="8" bestFit="1" customWidth="1"/>
    <col min="11" max="11" width="27.44140625" style="8" bestFit="1" customWidth="1"/>
    <col min="12" max="12" width="16.44140625" style="8" bestFit="1" customWidth="1"/>
    <col min="13" max="13" width="6.33203125" style="8" bestFit="1" customWidth="1"/>
    <col min="14" max="14" width="19.5546875" style="8" bestFit="1" customWidth="1"/>
    <col min="15" max="15" width="11.33203125" style="8" bestFit="1" customWidth="1"/>
    <col min="16" max="16" width="19.5546875" style="8" bestFit="1" customWidth="1"/>
    <col min="17" max="17" width="11.33203125" style="8" bestFit="1" customWidth="1"/>
    <col min="18" max="16384" width="9.109375" style="8"/>
  </cols>
  <sheetData>
    <row r="1" spans="1:8" x14ac:dyDescent="0.3">
      <c r="A1" s="10" t="s">
        <v>869</v>
      </c>
    </row>
    <row r="2" spans="1:8" ht="14.4" x14ac:dyDescent="0.3">
      <c r="A2" s="9" t="s">
        <v>889</v>
      </c>
      <c r="B2" s="7" t="s">
        <v>870</v>
      </c>
      <c r="H2"/>
    </row>
    <row r="3" spans="1:8" ht="14.4" x14ac:dyDescent="0.3">
      <c r="A3" s="9" t="s">
        <v>871</v>
      </c>
      <c r="B3" s="8" t="s">
        <v>884</v>
      </c>
      <c r="C3" s="8" t="s">
        <v>881</v>
      </c>
      <c r="D3" s="8" t="s">
        <v>883</v>
      </c>
      <c r="E3" s="8" t="s">
        <v>886</v>
      </c>
      <c r="F3" s="8" t="s">
        <v>882</v>
      </c>
      <c r="G3" s="8" t="s">
        <v>872</v>
      </c>
      <c r="H3"/>
    </row>
    <row r="4" spans="1:8" ht="14.4" x14ac:dyDescent="0.3">
      <c r="A4" s="6" t="s">
        <v>852</v>
      </c>
      <c r="C4" s="8">
        <v>2.75</v>
      </c>
      <c r="F4" s="8">
        <v>0.6</v>
      </c>
      <c r="G4" s="8">
        <v>3.35</v>
      </c>
      <c r="H4"/>
    </row>
    <row r="5" spans="1:8" ht="14.4" x14ac:dyDescent="0.3">
      <c r="A5" s="6" t="s">
        <v>854</v>
      </c>
      <c r="D5" s="8">
        <v>0.45</v>
      </c>
      <c r="G5" s="8">
        <v>0.45</v>
      </c>
      <c r="H5"/>
    </row>
    <row r="6" spans="1:8" ht="14.4" x14ac:dyDescent="0.3">
      <c r="A6" s="6" t="s">
        <v>856</v>
      </c>
      <c r="D6" s="8">
        <v>0.3</v>
      </c>
      <c r="G6" s="8">
        <v>0.3</v>
      </c>
      <c r="H6"/>
    </row>
    <row r="7" spans="1:8" ht="14.4" x14ac:dyDescent="0.3">
      <c r="A7" s="6" t="s">
        <v>865</v>
      </c>
      <c r="D7" s="8">
        <v>0.3</v>
      </c>
      <c r="G7" s="8">
        <v>0.3</v>
      </c>
      <c r="H7"/>
    </row>
    <row r="8" spans="1:8" ht="14.4" x14ac:dyDescent="0.3">
      <c r="A8" s="6" t="s">
        <v>401</v>
      </c>
      <c r="D8" s="8">
        <v>2.2999999999999998</v>
      </c>
      <c r="G8" s="8">
        <v>2.2999999999999998</v>
      </c>
      <c r="H8"/>
    </row>
    <row r="9" spans="1:8" ht="14.4" x14ac:dyDescent="0.3">
      <c r="A9" s="6" t="s">
        <v>873</v>
      </c>
      <c r="B9" s="8">
        <v>1</v>
      </c>
      <c r="D9" s="8">
        <v>0.45</v>
      </c>
      <c r="G9" s="8">
        <v>1.45</v>
      </c>
      <c r="H9"/>
    </row>
    <row r="10" spans="1:8" ht="14.4" x14ac:dyDescent="0.3">
      <c r="A10" s="6" t="s">
        <v>874</v>
      </c>
      <c r="D10" s="8">
        <v>0.3</v>
      </c>
      <c r="G10" s="8">
        <v>0.3</v>
      </c>
      <c r="H10"/>
    </row>
    <row r="11" spans="1:8" ht="14.4" x14ac:dyDescent="0.3">
      <c r="A11" s="6" t="s">
        <v>885</v>
      </c>
      <c r="D11" s="8">
        <v>4.5999999999999996</v>
      </c>
      <c r="G11" s="8">
        <v>4.5999999999999996</v>
      </c>
      <c r="H11"/>
    </row>
    <row r="12" spans="1:8" ht="14.4" x14ac:dyDescent="0.3">
      <c r="A12" s="6" t="s">
        <v>875</v>
      </c>
      <c r="F12" s="8">
        <v>0.45</v>
      </c>
      <c r="G12" s="8">
        <v>0.45</v>
      </c>
      <c r="H12"/>
    </row>
    <row r="13" spans="1:8" ht="14.4" x14ac:dyDescent="0.3">
      <c r="A13" s="6" t="s">
        <v>858</v>
      </c>
      <c r="D13" s="8">
        <v>11</v>
      </c>
      <c r="E13" s="8">
        <v>2.2999999999999998</v>
      </c>
      <c r="G13" s="8">
        <v>13.3</v>
      </c>
      <c r="H13"/>
    </row>
    <row r="14" spans="1:8" ht="14.4" x14ac:dyDescent="0.3">
      <c r="A14" s="6" t="s">
        <v>888</v>
      </c>
      <c r="B14" s="8">
        <v>0.3</v>
      </c>
      <c r="G14" s="8">
        <v>0.3</v>
      </c>
      <c r="H14"/>
    </row>
    <row r="15" spans="1:8" ht="14.4" x14ac:dyDescent="0.3">
      <c r="A15" s="6" t="s">
        <v>860</v>
      </c>
      <c r="B15" s="8">
        <v>0.3</v>
      </c>
      <c r="G15" s="8">
        <v>0.3</v>
      </c>
      <c r="H15"/>
    </row>
    <row r="16" spans="1:8" ht="14.4" x14ac:dyDescent="0.3">
      <c r="A16" s="6" t="s">
        <v>867</v>
      </c>
      <c r="F16" s="8">
        <v>1</v>
      </c>
      <c r="G16" s="8">
        <v>1</v>
      </c>
      <c r="H16"/>
    </row>
    <row r="17" spans="1:8" ht="14.4" x14ac:dyDescent="0.3">
      <c r="A17" s="6" t="s">
        <v>861</v>
      </c>
      <c r="D17" s="8">
        <v>3.75</v>
      </c>
      <c r="G17" s="8">
        <v>3.75</v>
      </c>
      <c r="H17"/>
    </row>
    <row r="18" spans="1:8" ht="14.4" x14ac:dyDescent="0.3">
      <c r="A18" s="6" t="s">
        <v>863</v>
      </c>
      <c r="B18" s="8">
        <v>1</v>
      </c>
      <c r="G18" s="8">
        <v>1</v>
      </c>
      <c r="H18"/>
    </row>
    <row r="19" spans="1:8" ht="14.4" x14ac:dyDescent="0.3">
      <c r="A19" s="6" t="s">
        <v>864</v>
      </c>
      <c r="C19" s="8">
        <v>0.3</v>
      </c>
      <c r="G19" s="8">
        <v>0.3</v>
      </c>
      <c r="H19"/>
    </row>
    <row r="20" spans="1:8" ht="14.4" x14ac:dyDescent="0.3">
      <c r="A20" s="6" t="s">
        <v>887</v>
      </c>
      <c r="D20" s="8">
        <v>4.3</v>
      </c>
      <c r="G20" s="8">
        <v>4.3</v>
      </c>
      <c r="H20"/>
    </row>
    <row r="21" spans="1:8" ht="14.4" x14ac:dyDescent="0.3">
      <c r="A21" s="6" t="s">
        <v>872</v>
      </c>
      <c r="B21" s="8">
        <v>2.6</v>
      </c>
      <c r="C21" s="8">
        <v>3.05</v>
      </c>
      <c r="D21" s="8">
        <v>27.75</v>
      </c>
      <c r="E21" s="8">
        <v>2.2999999999999998</v>
      </c>
      <c r="F21" s="8">
        <v>2.0499999999999998</v>
      </c>
      <c r="G21" s="8">
        <v>37.75</v>
      </c>
      <c r="H21"/>
    </row>
    <row r="23" spans="1:8" x14ac:dyDescent="0.3">
      <c r="A23" s="10" t="s">
        <v>890</v>
      </c>
    </row>
    <row r="24" spans="1:8" ht="14.4" x14ac:dyDescent="0.3">
      <c r="A24" s="9" t="s">
        <v>876</v>
      </c>
      <c r="B24" s="7" t="s">
        <v>870</v>
      </c>
      <c r="H24"/>
    </row>
    <row r="25" spans="1:8" ht="14.4" x14ac:dyDescent="0.3">
      <c r="A25" s="9" t="s">
        <v>871</v>
      </c>
      <c r="B25" s="8" t="s">
        <v>884</v>
      </c>
      <c r="C25" s="8" t="s">
        <v>881</v>
      </c>
      <c r="D25" s="8" t="s">
        <v>883</v>
      </c>
      <c r="E25" s="8" t="s">
        <v>886</v>
      </c>
      <c r="F25" s="8" t="s">
        <v>882</v>
      </c>
      <c r="G25" s="8" t="s">
        <v>872</v>
      </c>
      <c r="H25"/>
    </row>
    <row r="26" spans="1:8" ht="14.4" x14ac:dyDescent="0.3">
      <c r="A26" s="6" t="s">
        <v>866</v>
      </c>
      <c r="D26" s="8">
        <v>1</v>
      </c>
      <c r="G26" s="8">
        <v>1</v>
      </c>
      <c r="H26"/>
    </row>
    <row r="27" spans="1:8" ht="14.4" x14ac:dyDescent="0.3">
      <c r="A27" s="6" t="s">
        <v>857</v>
      </c>
      <c r="B27" s="8">
        <v>1</v>
      </c>
      <c r="D27" s="8">
        <v>1</v>
      </c>
      <c r="G27" s="8">
        <v>2</v>
      </c>
      <c r="H27"/>
    </row>
    <row r="28" spans="1:8" ht="14.4" x14ac:dyDescent="0.3">
      <c r="A28" s="6" t="s">
        <v>402</v>
      </c>
      <c r="B28" s="8">
        <v>1</v>
      </c>
      <c r="D28" s="8">
        <v>1</v>
      </c>
      <c r="G28" s="8">
        <v>2</v>
      </c>
      <c r="H28"/>
    </row>
    <row r="29" spans="1:8" ht="14.4" x14ac:dyDescent="0.3">
      <c r="A29" s="6" t="s">
        <v>855</v>
      </c>
      <c r="D29" s="8">
        <v>1</v>
      </c>
      <c r="G29" s="8">
        <v>1</v>
      </c>
      <c r="H29"/>
    </row>
    <row r="30" spans="1:8" ht="14.4" x14ac:dyDescent="0.3">
      <c r="A30" s="6" t="s">
        <v>385</v>
      </c>
      <c r="D30" s="8">
        <v>1</v>
      </c>
      <c r="F30" s="8">
        <v>1</v>
      </c>
      <c r="G30" s="8">
        <v>2</v>
      </c>
      <c r="H30"/>
    </row>
    <row r="31" spans="1:8" ht="14.4" x14ac:dyDescent="0.3">
      <c r="A31" s="6" t="s">
        <v>880</v>
      </c>
      <c r="C31" s="8">
        <v>3</v>
      </c>
      <c r="F31" s="8">
        <v>2</v>
      </c>
      <c r="G31" s="8">
        <v>5</v>
      </c>
      <c r="H31"/>
    </row>
    <row r="32" spans="1:8" ht="14.4" x14ac:dyDescent="0.3">
      <c r="A32" s="6" t="s">
        <v>104</v>
      </c>
      <c r="D32" s="8">
        <v>1</v>
      </c>
      <c r="G32" s="8">
        <v>1</v>
      </c>
      <c r="H32"/>
    </row>
    <row r="33" spans="1:8" ht="14.4" x14ac:dyDescent="0.3">
      <c r="A33" s="6" t="s">
        <v>859</v>
      </c>
      <c r="B33" s="8">
        <v>2</v>
      </c>
      <c r="D33" s="8">
        <v>3</v>
      </c>
      <c r="E33" s="8">
        <v>1</v>
      </c>
      <c r="G33" s="8">
        <v>6</v>
      </c>
      <c r="H33"/>
    </row>
    <row r="34" spans="1:8" ht="14.4" x14ac:dyDescent="0.3">
      <c r="A34" s="6" t="s">
        <v>862</v>
      </c>
      <c r="D34" s="8">
        <v>2</v>
      </c>
      <c r="G34" s="8">
        <v>2</v>
      </c>
      <c r="H34"/>
    </row>
    <row r="35" spans="1:8" ht="14.4" x14ac:dyDescent="0.3">
      <c r="A35" s="6" t="s">
        <v>868</v>
      </c>
      <c r="D35" s="8">
        <v>4</v>
      </c>
      <c r="F35" s="8">
        <v>1</v>
      </c>
      <c r="G35" s="8">
        <v>5</v>
      </c>
      <c r="H35"/>
    </row>
    <row r="36" spans="1:8" ht="14.4" x14ac:dyDescent="0.3">
      <c r="A36" s="6" t="s">
        <v>872</v>
      </c>
      <c r="B36" s="8">
        <v>4</v>
      </c>
      <c r="C36" s="8">
        <v>3</v>
      </c>
      <c r="D36" s="8">
        <v>15</v>
      </c>
      <c r="E36" s="8">
        <v>1</v>
      </c>
      <c r="F36" s="8">
        <v>4</v>
      </c>
      <c r="G36" s="8">
        <v>27</v>
      </c>
      <c r="H36"/>
    </row>
    <row r="37" spans="1:8" ht="14.4" x14ac:dyDescent="0.3">
      <c r="A37"/>
      <c r="B37"/>
      <c r="C37"/>
      <c r="D37"/>
      <c r="E37"/>
      <c r="F37"/>
      <c r="G37"/>
      <c r="H37"/>
    </row>
    <row r="40" spans="1:8" x14ac:dyDescent="0.3">
      <c r="A40" s="8"/>
    </row>
    <row r="41" spans="1:8" x14ac:dyDescent="0.3">
      <c r="A41" s="8"/>
    </row>
    <row r="42" spans="1:8" x14ac:dyDescent="0.3">
      <c r="A42" s="8"/>
    </row>
    <row r="43" spans="1:8" x14ac:dyDescent="0.3">
      <c r="A43" s="8"/>
    </row>
    <row r="44" spans="1:8" x14ac:dyDescent="0.3">
      <c r="A44" s="8"/>
    </row>
    <row r="45" spans="1:8" x14ac:dyDescent="0.3">
      <c r="A45" s="8"/>
    </row>
    <row r="46" spans="1:8" x14ac:dyDescent="0.3">
      <c r="A46" s="8"/>
    </row>
    <row r="47" spans="1:8" x14ac:dyDescent="0.3">
      <c r="A47" s="8"/>
    </row>
    <row r="48" spans="1:8" x14ac:dyDescent="0.3">
      <c r="A48" s="8"/>
    </row>
    <row r="49" spans="1:17" x14ac:dyDescent="0.3">
      <c r="A49" s="8"/>
    </row>
    <row r="50" spans="1:17" x14ac:dyDescent="0.3">
      <c r="A50" s="8"/>
    </row>
    <row r="51" spans="1:17" x14ac:dyDescent="0.3">
      <c r="A51" s="8"/>
    </row>
    <row r="52" spans="1:17" ht="14.4" x14ac:dyDescent="0.3">
      <c r="A52"/>
      <c r="B52"/>
      <c r="C52"/>
      <c r="D52"/>
      <c r="E52"/>
      <c r="F52"/>
      <c r="G52"/>
      <c r="H52"/>
      <c r="I52"/>
      <c r="J52"/>
      <c r="K52"/>
      <c r="L52"/>
      <c r="M52"/>
      <c r="N52"/>
      <c r="O52"/>
      <c r="P52"/>
      <c r="Q52"/>
    </row>
    <row r="53" spans="1:17" ht="14.4" x14ac:dyDescent="0.3">
      <c r="A53"/>
      <c r="B53"/>
      <c r="C53"/>
      <c r="D53"/>
      <c r="E53"/>
      <c r="F53"/>
      <c r="G53"/>
      <c r="H53"/>
      <c r="I53"/>
      <c r="J53"/>
      <c r="K53"/>
      <c r="L53"/>
      <c r="M53"/>
      <c r="N53"/>
      <c r="O53"/>
      <c r="P53"/>
      <c r="Q53"/>
    </row>
    <row r="54" spans="1:17" ht="14.4" x14ac:dyDescent="0.3">
      <c r="A54"/>
      <c r="B54"/>
      <c r="C54"/>
      <c r="D54"/>
      <c r="E54"/>
      <c r="F54"/>
      <c r="G54"/>
      <c r="H54"/>
      <c r="I54"/>
      <c r="J54"/>
      <c r="K54"/>
      <c r="L54"/>
      <c r="M54"/>
      <c r="N54"/>
      <c r="O54"/>
      <c r="P54"/>
      <c r="Q54"/>
    </row>
    <row r="55" spans="1:17" ht="14.4" x14ac:dyDescent="0.3">
      <c r="A55"/>
      <c r="B55"/>
      <c r="C55"/>
      <c r="D55"/>
      <c r="E55"/>
      <c r="F55"/>
      <c r="G55"/>
      <c r="H55"/>
      <c r="I55"/>
      <c r="J55"/>
      <c r="K55"/>
      <c r="L55"/>
      <c r="M55"/>
      <c r="N55"/>
      <c r="O55"/>
      <c r="P55"/>
      <c r="Q55"/>
    </row>
    <row r="56" spans="1:17" ht="14.4" x14ac:dyDescent="0.3">
      <c r="A56"/>
      <c r="B56"/>
      <c r="C56"/>
      <c r="D56"/>
      <c r="E56"/>
      <c r="F56"/>
      <c r="G56"/>
      <c r="H56"/>
      <c r="I56"/>
      <c r="J56"/>
      <c r="K56"/>
      <c r="L56"/>
      <c r="M56"/>
      <c r="N56"/>
      <c r="O56"/>
      <c r="P56"/>
      <c r="Q56"/>
    </row>
    <row r="57" spans="1:17" ht="14.4" x14ac:dyDescent="0.3">
      <c r="A57"/>
      <c r="B57"/>
      <c r="C57"/>
      <c r="D57"/>
      <c r="E57"/>
      <c r="F57"/>
      <c r="G57"/>
      <c r="H57"/>
      <c r="I57"/>
      <c r="J57"/>
      <c r="K57"/>
      <c r="L57"/>
      <c r="M57"/>
      <c r="N57"/>
      <c r="O57"/>
      <c r="P57"/>
      <c r="Q57"/>
    </row>
    <row r="58" spans="1:17" ht="14.4" x14ac:dyDescent="0.3">
      <c r="A58"/>
      <c r="B58"/>
      <c r="C58"/>
      <c r="D58"/>
      <c r="E58"/>
      <c r="F58"/>
      <c r="G58"/>
      <c r="H58"/>
      <c r="I58"/>
      <c r="J58"/>
      <c r="K58"/>
      <c r="L58"/>
      <c r="M58"/>
      <c r="N58"/>
      <c r="O58"/>
      <c r="P58"/>
      <c r="Q58"/>
    </row>
    <row r="59" spans="1:17" ht="14.4" x14ac:dyDescent="0.3">
      <c r="A59"/>
      <c r="B59"/>
      <c r="C59"/>
      <c r="D59"/>
      <c r="E59"/>
      <c r="F59"/>
      <c r="G59"/>
      <c r="H59"/>
      <c r="I59"/>
      <c r="J59"/>
      <c r="K59"/>
      <c r="L59"/>
      <c r="M59"/>
      <c r="N59"/>
      <c r="O59"/>
      <c r="P59"/>
      <c r="Q59"/>
    </row>
    <row r="60" spans="1:17" ht="14.4" x14ac:dyDescent="0.3">
      <c r="A60"/>
      <c r="B60"/>
      <c r="C60"/>
      <c r="D60"/>
      <c r="E60"/>
      <c r="F60"/>
      <c r="G60"/>
      <c r="H60"/>
      <c r="I60"/>
      <c r="J60"/>
      <c r="K60"/>
      <c r="L60"/>
      <c r="M60"/>
      <c r="N60"/>
      <c r="O60"/>
      <c r="P60"/>
      <c r="Q60"/>
    </row>
    <row r="61" spans="1:17" ht="14.4" x14ac:dyDescent="0.3">
      <c r="A61"/>
      <c r="B61"/>
      <c r="C61"/>
      <c r="D61"/>
      <c r="E61"/>
      <c r="F61"/>
      <c r="G61"/>
      <c r="H61"/>
      <c r="I61"/>
      <c r="J61"/>
      <c r="K61"/>
      <c r="L61"/>
      <c r="M61"/>
      <c r="N61"/>
      <c r="O61"/>
      <c r="P61"/>
      <c r="Q61"/>
    </row>
    <row r="62" spans="1:17" ht="14.4" x14ac:dyDescent="0.3">
      <c r="A62"/>
      <c r="B62"/>
      <c r="C62"/>
      <c r="D62"/>
      <c r="E62"/>
      <c r="F62"/>
      <c r="G62"/>
      <c r="H62"/>
      <c r="I62"/>
      <c r="J62"/>
      <c r="K62"/>
      <c r="L62"/>
      <c r="M62"/>
      <c r="N62"/>
      <c r="O62"/>
      <c r="P62"/>
      <c r="Q62"/>
    </row>
    <row r="63" spans="1:17" ht="14.4" x14ac:dyDescent="0.3">
      <c r="A63"/>
      <c r="B63"/>
      <c r="C63"/>
      <c r="D63"/>
      <c r="E63"/>
      <c r="F63"/>
      <c r="G63"/>
      <c r="H63"/>
      <c r="I63"/>
      <c r="J63"/>
      <c r="K63"/>
      <c r="L63"/>
      <c r="M63"/>
      <c r="N63"/>
      <c r="O63"/>
      <c r="P63"/>
      <c r="Q63"/>
    </row>
    <row r="64" spans="1:17" ht="14.4" x14ac:dyDescent="0.3">
      <c r="A64"/>
      <c r="B64"/>
      <c r="C64"/>
      <c r="D64"/>
      <c r="E64"/>
      <c r="F64"/>
      <c r="G64"/>
      <c r="H64"/>
      <c r="I64"/>
      <c r="J64"/>
      <c r="K64"/>
      <c r="L64"/>
      <c r="M64"/>
      <c r="N64"/>
      <c r="O64"/>
      <c r="P64"/>
      <c r="Q64"/>
    </row>
    <row r="65" spans="1:17" ht="14.4" x14ac:dyDescent="0.3">
      <c r="A65"/>
      <c r="B65"/>
      <c r="C65"/>
      <c r="D65"/>
      <c r="E65"/>
      <c r="F65"/>
      <c r="G65"/>
      <c r="H65"/>
      <c r="I65"/>
      <c r="J65"/>
      <c r="K65"/>
      <c r="L65"/>
      <c r="M65"/>
      <c r="N65"/>
      <c r="O65"/>
      <c r="P65"/>
      <c r="Q65"/>
    </row>
    <row r="66" spans="1:17" ht="14.4" x14ac:dyDescent="0.3">
      <c r="A66"/>
      <c r="B66"/>
      <c r="C66"/>
      <c r="D66"/>
      <c r="E66"/>
      <c r="F66"/>
      <c r="G66"/>
      <c r="H66"/>
      <c r="I66"/>
      <c r="J66"/>
      <c r="K66"/>
      <c r="L66"/>
      <c r="M66"/>
      <c r="N66"/>
      <c r="O66"/>
      <c r="P66"/>
      <c r="Q66"/>
    </row>
    <row r="67" spans="1:17" ht="14.4" x14ac:dyDescent="0.3">
      <c r="A67"/>
      <c r="B67"/>
      <c r="C67"/>
      <c r="D67"/>
      <c r="E67"/>
      <c r="F67"/>
      <c r="G67"/>
      <c r="H67"/>
      <c r="I67"/>
      <c r="J67"/>
      <c r="K67"/>
      <c r="L67"/>
      <c r="M67"/>
      <c r="N67"/>
      <c r="O67"/>
      <c r="P67"/>
      <c r="Q67"/>
    </row>
    <row r="68" spans="1:17" ht="14.4" x14ac:dyDescent="0.3">
      <c r="A68"/>
      <c r="B68"/>
      <c r="C68"/>
      <c r="D68"/>
      <c r="E68"/>
      <c r="F68"/>
      <c r="G68"/>
      <c r="H68"/>
      <c r="I68"/>
      <c r="J68"/>
      <c r="K68"/>
      <c r="L68"/>
      <c r="M68"/>
      <c r="N68"/>
      <c r="O68"/>
      <c r="P68"/>
      <c r="Q68"/>
    </row>
    <row r="69" spans="1:17" ht="14.4" x14ac:dyDescent="0.3">
      <c r="A69"/>
      <c r="B69"/>
      <c r="C69"/>
      <c r="D69"/>
      <c r="E69"/>
      <c r="F69"/>
      <c r="G69"/>
      <c r="H69"/>
      <c r="I69"/>
      <c r="J69"/>
      <c r="K69"/>
      <c r="L69"/>
      <c r="M69"/>
      <c r="N69"/>
      <c r="O69"/>
      <c r="P69"/>
      <c r="Q69"/>
    </row>
    <row r="70" spans="1:17" ht="14.4" x14ac:dyDescent="0.3">
      <c r="A70"/>
      <c r="B70"/>
      <c r="C70"/>
      <c r="D70"/>
      <c r="E70"/>
      <c r="F70"/>
      <c r="G70"/>
      <c r="H70"/>
      <c r="I70"/>
      <c r="J70"/>
      <c r="K70"/>
      <c r="L70"/>
      <c r="M70"/>
      <c r="N70"/>
      <c r="O70"/>
      <c r="P70"/>
      <c r="Q70"/>
    </row>
    <row r="71" spans="1:17" ht="14.4" x14ac:dyDescent="0.3">
      <c r="A71"/>
      <c r="B71"/>
      <c r="C71"/>
      <c r="D71"/>
      <c r="E71"/>
      <c r="F71"/>
      <c r="G71"/>
      <c r="H71"/>
      <c r="I71"/>
      <c r="J71"/>
      <c r="K71"/>
      <c r="L71"/>
      <c r="M71"/>
      <c r="N71"/>
      <c r="O71"/>
      <c r="P71"/>
      <c r="Q71"/>
    </row>
    <row r="72" spans="1:17" ht="14.4" x14ac:dyDescent="0.3">
      <c r="A72"/>
      <c r="B72"/>
      <c r="C72"/>
      <c r="D72"/>
      <c r="E72"/>
      <c r="F72"/>
      <c r="G72"/>
      <c r="H72"/>
      <c r="I72"/>
      <c r="J72"/>
      <c r="K72"/>
      <c r="L72"/>
      <c r="M72"/>
      <c r="N72"/>
      <c r="O72"/>
      <c r="P72"/>
      <c r="Q72"/>
    </row>
    <row r="73" spans="1:17" ht="14.4" x14ac:dyDescent="0.3">
      <c r="A73"/>
      <c r="B73"/>
      <c r="C73"/>
      <c r="D73"/>
      <c r="E73"/>
      <c r="F73"/>
      <c r="G73"/>
      <c r="H73"/>
      <c r="I73"/>
      <c r="J73"/>
      <c r="K73"/>
      <c r="L73"/>
      <c r="M73"/>
      <c r="N73"/>
      <c r="O73"/>
      <c r="P73"/>
      <c r="Q73"/>
    </row>
    <row r="74" spans="1:17" ht="14.4" x14ac:dyDescent="0.3">
      <c r="A74"/>
      <c r="B74"/>
      <c r="C74"/>
      <c r="D74"/>
      <c r="E74"/>
      <c r="F74"/>
      <c r="G74"/>
      <c r="H74"/>
      <c r="I74"/>
      <c r="J74"/>
      <c r="K74"/>
      <c r="L74"/>
      <c r="M74"/>
      <c r="N74"/>
      <c r="O74"/>
      <c r="P74"/>
      <c r="Q74"/>
    </row>
    <row r="75" spans="1:17" ht="14.4" x14ac:dyDescent="0.3">
      <c r="A75"/>
      <c r="B75"/>
      <c r="C75"/>
      <c r="D75"/>
      <c r="E75"/>
      <c r="F75"/>
      <c r="G75"/>
      <c r="H75"/>
      <c r="I75"/>
      <c r="J75"/>
      <c r="K75"/>
      <c r="L75"/>
      <c r="M75"/>
      <c r="N75"/>
      <c r="O75"/>
      <c r="P75"/>
      <c r="Q75"/>
    </row>
    <row r="76" spans="1:17" ht="14.4" x14ac:dyDescent="0.3">
      <c r="A76"/>
      <c r="B76"/>
      <c r="C76"/>
      <c r="D76"/>
      <c r="E76"/>
      <c r="F76"/>
      <c r="G76"/>
      <c r="H76"/>
      <c r="I76"/>
      <c r="J76"/>
      <c r="K76"/>
      <c r="L76"/>
      <c r="M76"/>
      <c r="N76"/>
      <c r="O76"/>
      <c r="P76"/>
      <c r="Q76"/>
    </row>
    <row r="77" spans="1:17" ht="14.4" x14ac:dyDescent="0.3">
      <c r="A77"/>
      <c r="B77"/>
      <c r="C77"/>
      <c r="D77"/>
      <c r="E77"/>
      <c r="F77"/>
      <c r="G77"/>
      <c r="H77"/>
      <c r="I77"/>
      <c r="J77"/>
      <c r="K77"/>
      <c r="L77"/>
      <c r="M77"/>
      <c r="N77"/>
      <c r="O77"/>
      <c r="P77"/>
      <c r="Q77"/>
    </row>
    <row r="78" spans="1:17" ht="14.4" x14ac:dyDescent="0.3">
      <c r="A78"/>
      <c r="B78"/>
      <c r="C78"/>
      <c r="D78"/>
      <c r="E78"/>
      <c r="F78"/>
      <c r="G78"/>
      <c r="H78"/>
      <c r="I78"/>
      <c r="J78"/>
      <c r="K78"/>
      <c r="L78"/>
      <c r="M78"/>
      <c r="N78"/>
      <c r="O78"/>
      <c r="P78"/>
      <c r="Q78"/>
    </row>
    <row r="79" spans="1:17" ht="14.4" x14ac:dyDescent="0.3">
      <c r="A79"/>
      <c r="B79"/>
      <c r="C79"/>
      <c r="D79"/>
      <c r="E79"/>
      <c r="F79"/>
      <c r="G79"/>
      <c r="H79"/>
      <c r="I79"/>
      <c r="J79"/>
      <c r="K79"/>
      <c r="L79"/>
      <c r="M79"/>
      <c r="N79"/>
      <c r="O79"/>
      <c r="P79"/>
      <c r="Q79"/>
    </row>
    <row r="80" spans="1:17" ht="14.4" x14ac:dyDescent="0.3">
      <c r="A80"/>
      <c r="B80"/>
      <c r="C80"/>
      <c r="D80"/>
      <c r="E80"/>
      <c r="F80"/>
      <c r="G80"/>
      <c r="H80"/>
      <c r="I80"/>
      <c r="J80"/>
      <c r="K80"/>
      <c r="L80"/>
      <c r="M80"/>
      <c r="N80"/>
      <c r="O80"/>
      <c r="P80"/>
      <c r="Q80"/>
    </row>
    <row r="81" spans="1:17" ht="14.4" x14ac:dyDescent="0.3">
      <c r="A81"/>
      <c r="B81"/>
      <c r="C81"/>
      <c r="D81"/>
      <c r="E81"/>
      <c r="F81"/>
      <c r="G81"/>
      <c r="H81"/>
      <c r="I81"/>
      <c r="J81"/>
      <c r="K81"/>
      <c r="L81"/>
      <c r="M81"/>
      <c r="N81"/>
      <c r="O81"/>
      <c r="P81"/>
      <c r="Q81"/>
    </row>
    <row r="82" spans="1:17" ht="14.4" x14ac:dyDescent="0.3">
      <c r="A82"/>
      <c r="B82"/>
      <c r="C82"/>
      <c r="D82"/>
      <c r="E82"/>
      <c r="F82"/>
      <c r="G82"/>
      <c r="H82"/>
      <c r="I82"/>
      <c r="J82"/>
      <c r="K82"/>
      <c r="L82"/>
      <c r="M82"/>
      <c r="N82"/>
      <c r="O82"/>
      <c r="P82"/>
      <c r="Q82"/>
    </row>
    <row r="83" spans="1:17" ht="14.4" x14ac:dyDescent="0.3">
      <c r="A83"/>
      <c r="B83"/>
      <c r="C83"/>
      <c r="D83"/>
      <c r="E83"/>
      <c r="F83"/>
      <c r="G83"/>
      <c r="H83"/>
      <c r="I83"/>
      <c r="J83"/>
      <c r="K83"/>
      <c r="L83"/>
      <c r="M83"/>
      <c r="N83"/>
      <c r="O83"/>
      <c r="P83"/>
      <c r="Q83"/>
    </row>
    <row r="84" spans="1:17" ht="14.4" x14ac:dyDescent="0.3">
      <c r="A84"/>
      <c r="B84"/>
      <c r="C84"/>
      <c r="D84"/>
      <c r="E84"/>
      <c r="F84"/>
      <c r="G84"/>
      <c r="H84"/>
      <c r="I84"/>
      <c r="J84"/>
      <c r="K84"/>
      <c r="L84"/>
      <c r="M84"/>
      <c r="N84"/>
      <c r="O84"/>
      <c r="P84"/>
      <c r="Q84"/>
    </row>
    <row r="85" spans="1:17" ht="14.4" x14ac:dyDescent="0.3">
      <c r="A85"/>
      <c r="B85"/>
      <c r="C85"/>
      <c r="D85"/>
      <c r="E85"/>
      <c r="F85"/>
      <c r="G85"/>
      <c r="H85"/>
      <c r="I85"/>
      <c r="J85"/>
      <c r="K85"/>
      <c r="L85"/>
      <c r="M85"/>
      <c r="N85"/>
      <c r="O85"/>
      <c r="P85"/>
      <c r="Q85"/>
    </row>
    <row r="86" spans="1:17" ht="14.4" x14ac:dyDescent="0.3">
      <c r="A86"/>
      <c r="B86"/>
      <c r="C86"/>
      <c r="D86"/>
      <c r="E86"/>
      <c r="F86"/>
      <c r="G86"/>
      <c r="H86"/>
      <c r="I86"/>
      <c r="J86"/>
      <c r="K86"/>
      <c r="L86"/>
      <c r="M86"/>
      <c r="N86"/>
      <c r="O86"/>
      <c r="P86"/>
      <c r="Q86"/>
    </row>
    <row r="87" spans="1:17" ht="14.4" x14ac:dyDescent="0.3">
      <c r="A87"/>
      <c r="B87"/>
      <c r="C87"/>
      <c r="D87"/>
      <c r="E87"/>
      <c r="F87"/>
      <c r="G87"/>
      <c r="H87"/>
      <c r="I87"/>
      <c r="J87"/>
      <c r="K87"/>
      <c r="L87"/>
      <c r="M87"/>
      <c r="N87"/>
      <c r="O87"/>
      <c r="P87"/>
      <c r="Q87"/>
    </row>
    <row r="88" spans="1:17" ht="14.4" x14ac:dyDescent="0.3">
      <c r="A88"/>
      <c r="B88"/>
      <c r="C88"/>
      <c r="D88"/>
      <c r="E88"/>
      <c r="F88"/>
      <c r="G88"/>
      <c r="H88"/>
      <c r="I88"/>
      <c r="J88"/>
      <c r="K88"/>
      <c r="L88"/>
      <c r="M88"/>
      <c r="N88"/>
      <c r="O88"/>
      <c r="P88"/>
      <c r="Q88"/>
    </row>
    <row r="89" spans="1:17" ht="14.4" x14ac:dyDescent="0.3">
      <c r="A89"/>
      <c r="B89"/>
      <c r="C89"/>
      <c r="D89"/>
      <c r="E89"/>
      <c r="F89"/>
      <c r="G89"/>
      <c r="H89"/>
      <c r="I89"/>
      <c r="J89"/>
      <c r="K89"/>
      <c r="L89"/>
      <c r="M89"/>
      <c r="N89"/>
      <c r="O89"/>
      <c r="P89"/>
      <c r="Q89"/>
    </row>
    <row r="90" spans="1:17" ht="14.4" x14ac:dyDescent="0.3">
      <c r="A90"/>
      <c r="B90"/>
      <c r="C90"/>
      <c r="D90"/>
      <c r="E90"/>
      <c r="F90"/>
      <c r="G90"/>
      <c r="H90"/>
      <c r="I90"/>
      <c r="J90"/>
      <c r="K90"/>
      <c r="L90"/>
      <c r="M90"/>
      <c r="N90"/>
      <c r="O90"/>
      <c r="P90"/>
      <c r="Q90"/>
    </row>
    <row r="91" spans="1:17" ht="14.4" x14ac:dyDescent="0.3">
      <c r="A91"/>
      <c r="B91"/>
      <c r="C91"/>
      <c r="D91"/>
      <c r="E91"/>
      <c r="F91"/>
      <c r="G91"/>
      <c r="H91"/>
      <c r="I91"/>
      <c r="J91"/>
      <c r="K91"/>
      <c r="L91"/>
      <c r="M91"/>
      <c r="N91"/>
      <c r="O91"/>
      <c r="P91"/>
      <c r="Q91"/>
    </row>
    <row r="92" spans="1:17" ht="14.4" x14ac:dyDescent="0.3">
      <c r="A92"/>
      <c r="B92"/>
      <c r="C92"/>
      <c r="D92"/>
      <c r="E92"/>
      <c r="F92"/>
      <c r="G92"/>
      <c r="H92"/>
      <c r="I92"/>
      <c r="J92"/>
      <c r="K92"/>
      <c r="L92"/>
      <c r="M92"/>
      <c r="N92"/>
      <c r="O92"/>
      <c r="P92"/>
      <c r="Q92"/>
    </row>
    <row r="93" spans="1:17" ht="14.4" x14ac:dyDescent="0.3">
      <c r="A93"/>
      <c r="B93"/>
      <c r="C93"/>
      <c r="D93"/>
      <c r="E93"/>
      <c r="F93"/>
      <c r="G93"/>
      <c r="H93"/>
      <c r="I93"/>
      <c r="J93"/>
      <c r="K93"/>
      <c r="L93"/>
      <c r="M93"/>
      <c r="N93"/>
      <c r="O93"/>
      <c r="P93"/>
      <c r="Q93"/>
    </row>
    <row r="94" spans="1:17" ht="14.4" x14ac:dyDescent="0.3">
      <c r="A94"/>
      <c r="B94"/>
      <c r="C94"/>
      <c r="D94"/>
      <c r="E94"/>
      <c r="F94"/>
      <c r="G94"/>
      <c r="H94"/>
      <c r="I94"/>
      <c r="J94"/>
      <c r="K94"/>
      <c r="L94"/>
      <c r="M94"/>
      <c r="N94"/>
      <c r="O94"/>
      <c r="P94"/>
      <c r="Q94"/>
    </row>
    <row r="95" spans="1:17" ht="14.4" x14ac:dyDescent="0.3">
      <c r="A95"/>
      <c r="B95"/>
      <c r="C95"/>
      <c r="D95"/>
      <c r="E95"/>
      <c r="F95"/>
      <c r="G95"/>
      <c r="H95"/>
      <c r="I95"/>
      <c r="J95"/>
      <c r="K95"/>
      <c r="L95"/>
      <c r="M95"/>
      <c r="N95"/>
      <c r="O95"/>
      <c r="P95"/>
      <c r="Q95"/>
    </row>
    <row r="96" spans="1:17" ht="14.4" x14ac:dyDescent="0.3">
      <c r="A96"/>
      <c r="B96"/>
      <c r="C96"/>
      <c r="D96"/>
      <c r="E96"/>
      <c r="F96"/>
      <c r="G96"/>
      <c r="H96"/>
      <c r="I96"/>
      <c r="J96"/>
      <c r="K96"/>
      <c r="L96"/>
      <c r="M96"/>
      <c r="N96"/>
      <c r="O96"/>
      <c r="P96"/>
      <c r="Q96"/>
    </row>
    <row r="97" spans="1:17" ht="14.4" x14ac:dyDescent="0.3">
      <c r="A97"/>
      <c r="B97"/>
      <c r="C97"/>
      <c r="D97"/>
      <c r="E97"/>
      <c r="F97"/>
      <c r="G97"/>
      <c r="H97"/>
      <c r="I97"/>
      <c r="J97"/>
      <c r="K97"/>
      <c r="L97"/>
      <c r="M97"/>
      <c r="N97"/>
      <c r="O97"/>
      <c r="P97"/>
      <c r="Q97"/>
    </row>
    <row r="98" spans="1:17" ht="14.4" x14ac:dyDescent="0.3">
      <c r="A98"/>
      <c r="B98"/>
      <c r="C98"/>
      <c r="D98"/>
      <c r="E98"/>
      <c r="F98"/>
      <c r="G98"/>
      <c r="H98"/>
      <c r="I98"/>
      <c r="J98"/>
      <c r="K98"/>
      <c r="L98"/>
      <c r="M98"/>
      <c r="N98"/>
      <c r="O98"/>
      <c r="P98"/>
      <c r="Q98"/>
    </row>
    <row r="99" spans="1:17" ht="14.4" x14ac:dyDescent="0.3">
      <c r="A99"/>
      <c r="B99"/>
      <c r="C99"/>
      <c r="D99"/>
      <c r="E99"/>
      <c r="F99"/>
      <c r="G99"/>
      <c r="H99"/>
      <c r="I99"/>
      <c r="J99"/>
      <c r="K99"/>
      <c r="L99"/>
      <c r="M99"/>
      <c r="N99"/>
      <c r="O99"/>
      <c r="P99"/>
      <c r="Q99"/>
    </row>
    <row r="100" spans="1:17" ht="14.4" x14ac:dyDescent="0.3">
      <c r="A100"/>
      <c r="B100"/>
      <c r="C100"/>
      <c r="D100"/>
      <c r="E100"/>
      <c r="F100"/>
      <c r="G100"/>
      <c r="H100"/>
      <c r="I100"/>
      <c r="J100"/>
      <c r="K100"/>
      <c r="L100"/>
      <c r="M100"/>
      <c r="N100"/>
      <c r="O100"/>
      <c r="P100"/>
      <c r="Q100"/>
    </row>
    <row r="101" spans="1:17" ht="14.4" x14ac:dyDescent="0.3">
      <c r="A101"/>
      <c r="B101"/>
      <c r="C101"/>
      <c r="D101"/>
      <c r="E101"/>
      <c r="F101"/>
      <c r="G101"/>
      <c r="H101"/>
      <c r="I101"/>
      <c r="J101"/>
      <c r="K101"/>
      <c r="L101"/>
      <c r="M101"/>
      <c r="N101"/>
      <c r="O101"/>
      <c r="P101"/>
      <c r="Q101"/>
    </row>
    <row r="102" spans="1:17" ht="14.4" x14ac:dyDescent="0.3">
      <c r="A102"/>
      <c r="B102"/>
      <c r="C102"/>
      <c r="D102"/>
      <c r="E102"/>
      <c r="F102"/>
      <c r="G102"/>
      <c r="H102"/>
      <c r="I102"/>
      <c r="J102"/>
      <c r="K102"/>
      <c r="L102"/>
      <c r="M102"/>
      <c r="N102"/>
      <c r="O102"/>
      <c r="P102"/>
      <c r="Q102"/>
    </row>
    <row r="103" spans="1:17" ht="14.4" x14ac:dyDescent="0.3">
      <c r="A103"/>
      <c r="B103"/>
      <c r="C103"/>
      <c r="D103"/>
      <c r="E103"/>
      <c r="F103"/>
      <c r="G103"/>
      <c r="H103"/>
      <c r="I103"/>
      <c r="J103"/>
      <c r="K103"/>
      <c r="L103"/>
      <c r="M103"/>
      <c r="N103"/>
      <c r="O103"/>
      <c r="P103"/>
      <c r="Q103"/>
    </row>
    <row r="104" spans="1:17" ht="14.4" x14ac:dyDescent="0.3">
      <c r="A104"/>
      <c r="B104"/>
      <c r="C104"/>
      <c r="D104"/>
      <c r="E104"/>
      <c r="F104"/>
      <c r="G104"/>
      <c r="H104"/>
      <c r="I104"/>
      <c r="J104"/>
      <c r="K104"/>
      <c r="L104"/>
      <c r="M104"/>
      <c r="N104"/>
      <c r="O104"/>
      <c r="P104"/>
      <c r="Q104"/>
    </row>
    <row r="105" spans="1:17" ht="14.4" x14ac:dyDescent="0.3">
      <c r="A105"/>
      <c r="B105"/>
      <c r="C105"/>
      <c r="D105"/>
      <c r="E105"/>
      <c r="F105"/>
      <c r="G105"/>
      <c r="H105"/>
      <c r="I105"/>
      <c r="J105"/>
      <c r="K105"/>
      <c r="L105"/>
      <c r="M105"/>
      <c r="N105"/>
      <c r="O105"/>
      <c r="P105"/>
      <c r="Q105"/>
    </row>
    <row r="106" spans="1:17" ht="14.4" x14ac:dyDescent="0.3">
      <c r="A106"/>
      <c r="B106"/>
      <c r="C106"/>
      <c r="D106"/>
      <c r="E106"/>
      <c r="F106"/>
      <c r="G106"/>
      <c r="H106"/>
      <c r="I106"/>
      <c r="J106"/>
      <c r="K106"/>
      <c r="L106"/>
      <c r="M106"/>
      <c r="N106"/>
      <c r="O106"/>
      <c r="P106"/>
      <c r="Q106"/>
    </row>
    <row r="107" spans="1:17" ht="14.4" x14ac:dyDescent="0.3">
      <c r="A107"/>
      <c r="B107"/>
      <c r="C107"/>
      <c r="D107"/>
      <c r="E107"/>
      <c r="F107"/>
      <c r="G107"/>
      <c r="H107"/>
      <c r="I107"/>
      <c r="J107"/>
      <c r="K107"/>
      <c r="L107"/>
      <c r="M107"/>
      <c r="N107"/>
      <c r="O107"/>
      <c r="P107"/>
      <c r="Q107"/>
    </row>
    <row r="108" spans="1:17" ht="14.4" x14ac:dyDescent="0.3">
      <c r="A108"/>
      <c r="B108"/>
      <c r="C108"/>
      <c r="D108"/>
      <c r="E108"/>
      <c r="F108"/>
      <c r="G108"/>
      <c r="H108"/>
      <c r="I108"/>
      <c r="J108"/>
      <c r="K108"/>
      <c r="L108"/>
      <c r="M108"/>
      <c r="N108"/>
      <c r="O108"/>
      <c r="P108"/>
      <c r="Q108"/>
    </row>
    <row r="109" spans="1:17" ht="14.4" x14ac:dyDescent="0.3">
      <c r="A109"/>
      <c r="B109"/>
      <c r="C109"/>
      <c r="D109"/>
      <c r="E109"/>
      <c r="F109"/>
      <c r="G109"/>
      <c r="H109"/>
      <c r="I109"/>
      <c r="J109"/>
      <c r="K109"/>
      <c r="L109"/>
      <c r="M109"/>
      <c r="N109"/>
      <c r="O109"/>
      <c r="P109"/>
      <c r="Q109"/>
    </row>
    <row r="110" spans="1:17" ht="14.4" x14ac:dyDescent="0.3">
      <c r="A110"/>
      <c r="B110"/>
      <c r="C110"/>
      <c r="D110"/>
      <c r="E110"/>
      <c r="F110"/>
      <c r="G110"/>
      <c r="H110"/>
      <c r="I110"/>
      <c r="J110"/>
      <c r="K110"/>
      <c r="L110"/>
      <c r="M110"/>
      <c r="N110"/>
      <c r="O110"/>
      <c r="P110"/>
      <c r="Q110"/>
    </row>
    <row r="111" spans="1:17" ht="14.4" x14ac:dyDescent="0.3">
      <c r="A111"/>
      <c r="B111"/>
      <c r="C111"/>
      <c r="D111"/>
      <c r="E111"/>
      <c r="F111"/>
      <c r="G111"/>
      <c r="H111"/>
      <c r="I111"/>
      <c r="J111"/>
      <c r="K111"/>
      <c r="L111"/>
      <c r="M111"/>
      <c r="N111"/>
      <c r="O111"/>
      <c r="P111"/>
      <c r="Q111"/>
    </row>
    <row r="112" spans="1:17" ht="14.4" x14ac:dyDescent="0.3">
      <c r="A112"/>
      <c r="B112"/>
      <c r="C112"/>
      <c r="D112"/>
      <c r="E112"/>
      <c r="F112"/>
      <c r="G112"/>
      <c r="H112"/>
      <c r="I112"/>
      <c r="J112"/>
      <c r="K112"/>
      <c r="L112"/>
      <c r="M112"/>
      <c r="N112"/>
      <c r="O112"/>
      <c r="P112"/>
      <c r="Q112"/>
    </row>
    <row r="113" spans="1:17" ht="14.4" x14ac:dyDescent="0.3">
      <c r="A113"/>
      <c r="B113"/>
      <c r="C113"/>
      <c r="D113"/>
      <c r="E113"/>
      <c r="F113"/>
      <c r="G113"/>
      <c r="H113"/>
      <c r="I113"/>
      <c r="J113"/>
      <c r="K113"/>
      <c r="L113"/>
      <c r="M113"/>
      <c r="N113"/>
      <c r="O113"/>
      <c r="P113"/>
      <c r="Q113"/>
    </row>
    <row r="114" spans="1:17" ht="14.4" x14ac:dyDescent="0.3">
      <c r="A114"/>
      <c r="B114"/>
      <c r="C114"/>
      <c r="D114"/>
      <c r="E114"/>
      <c r="F114"/>
      <c r="G114"/>
      <c r="H114"/>
      <c r="I114"/>
      <c r="J114"/>
      <c r="K114"/>
      <c r="L114"/>
      <c r="M114"/>
      <c r="N114"/>
      <c r="O114"/>
      <c r="P114"/>
      <c r="Q114"/>
    </row>
    <row r="115" spans="1:17" ht="14.4" x14ac:dyDescent="0.3">
      <c r="A115"/>
      <c r="B115"/>
      <c r="C115"/>
      <c r="D115"/>
      <c r="E115"/>
      <c r="F115"/>
      <c r="G115"/>
      <c r="H115"/>
      <c r="I115"/>
      <c r="J115"/>
      <c r="K115"/>
      <c r="L115"/>
      <c r="M115"/>
      <c r="N115"/>
      <c r="O115"/>
      <c r="P115"/>
      <c r="Q115"/>
    </row>
    <row r="116" spans="1:17" ht="14.4" x14ac:dyDescent="0.3">
      <c r="A116"/>
      <c r="B116"/>
      <c r="C116"/>
      <c r="D116"/>
      <c r="E116"/>
      <c r="F116"/>
      <c r="G116"/>
      <c r="H116"/>
      <c r="I116"/>
      <c r="J116"/>
      <c r="K116"/>
      <c r="L116"/>
      <c r="M116"/>
      <c r="N116"/>
      <c r="O116"/>
      <c r="P116"/>
      <c r="Q116"/>
    </row>
    <row r="117" spans="1:17" ht="14.4" x14ac:dyDescent="0.3">
      <c r="A117"/>
      <c r="B117"/>
      <c r="C117"/>
      <c r="D117"/>
      <c r="E117"/>
      <c r="F117"/>
      <c r="G117"/>
      <c r="H117"/>
      <c r="I117"/>
      <c r="J117"/>
      <c r="K117"/>
      <c r="L117"/>
      <c r="M117"/>
      <c r="N117"/>
      <c r="O117"/>
      <c r="P117"/>
      <c r="Q117"/>
    </row>
    <row r="118" spans="1:17" ht="14.4" x14ac:dyDescent="0.3">
      <c r="A118"/>
      <c r="B118"/>
      <c r="C118"/>
      <c r="D118"/>
      <c r="E118"/>
      <c r="F118"/>
      <c r="G118"/>
      <c r="H118"/>
      <c r="I118"/>
      <c r="J118"/>
      <c r="K118"/>
      <c r="L118"/>
      <c r="M118"/>
      <c r="N118"/>
      <c r="O118"/>
      <c r="P118"/>
      <c r="Q118"/>
    </row>
    <row r="119" spans="1:17" ht="14.4" x14ac:dyDescent="0.3">
      <c r="A119"/>
      <c r="B119"/>
      <c r="C119"/>
      <c r="D119"/>
      <c r="E119"/>
      <c r="F119"/>
      <c r="G119"/>
      <c r="H119"/>
      <c r="I119"/>
      <c r="J119"/>
      <c r="K119"/>
      <c r="L119"/>
      <c r="M119"/>
      <c r="N119"/>
      <c r="O119"/>
      <c r="P119"/>
      <c r="Q119"/>
    </row>
    <row r="120" spans="1:17" ht="14.4" x14ac:dyDescent="0.3">
      <c r="A120"/>
      <c r="B120"/>
      <c r="C120"/>
      <c r="D120"/>
      <c r="E120"/>
      <c r="F120"/>
      <c r="G120"/>
      <c r="H120"/>
      <c r="I120"/>
      <c r="J120"/>
      <c r="K120"/>
      <c r="L120"/>
      <c r="M120"/>
      <c r="N120"/>
      <c r="O120"/>
      <c r="P120"/>
      <c r="Q120"/>
    </row>
    <row r="121" spans="1:17" ht="14.4" x14ac:dyDescent="0.3">
      <c r="A121"/>
      <c r="B121"/>
      <c r="C121"/>
      <c r="D121"/>
      <c r="E121"/>
      <c r="F121"/>
      <c r="G121"/>
      <c r="H121"/>
      <c r="I121"/>
      <c r="J121"/>
      <c r="K121"/>
      <c r="L121"/>
      <c r="M121"/>
      <c r="N121"/>
      <c r="O121"/>
      <c r="P121"/>
      <c r="Q121"/>
    </row>
    <row r="122" spans="1:17" ht="14.4" x14ac:dyDescent="0.3">
      <c r="A122"/>
      <c r="B122"/>
      <c r="C122"/>
      <c r="D122"/>
      <c r="E122"/>
      <c r="F122"/>
      <c r="G122"/>
      <c r="H122"/>
      <c r="I122"/>
      <c r="J122"/>
      <c r="K122"/>
      <c r="L122"/>
      <c r="M122"/>
      <c r="N122"/>
      <c r="O122"/>
      <c r="P122"/>
      <c r="Q122"/>
    </row>
    <row r="123" spans="1:17" ht="14.4" x14ac:dyDescent="0.3">
      <c r="A123"/>
      <c r="B123"/>
      <c r="C123"/>
      <c r="D123"/>
      <c r="E123"/>
      <c r="F123"/>
      <c r="G123"/>
      <c r="H123"/>
      <c r="I123"/>
      <c r="J123"/>
      <c r="K123"/>
      <c r="L123"/>
      <c r="M123"/>
      <c r="N123"/>
      <c r="O123"/>
      <c r="P123"/>
      <c r="Q123"/>
    </row>
    <row r="124" spans="1:17" ht="14.4" x14ac:dyDescent="0.3">
      <c r="A124"/>
      <c r="B124"/>
      <c r="C124"/>
      <c r="D124"/>
      <c r="E124"/>
      <c r="F124"/>
      <c r="G124"/>
      <c r="H124"/>
      <c r="I124"/>
      <c r="J124"/>
      <c r="K124"/>
      <c r="L124"/>
      <c r="M124"/>
      <c r="N124"/>
      <c r="O124"/>
      <c r="P124"/>
      <c r="Q124"/>
    </row>
    <row r="125" spans="1:17" ht="14.4" x14ac:dyDescent="0.3">
      <c r="A125"/>
      <c r="B125"/>
      <c r="C125"/>
      <c r="D125"/>
      <c r="E125"/>
      <c r="F125"/>
      <c r="G125"/>
      <c r="H125"/>
      <c r="I125"/>
      <c r="J125"/>
      <c r="K125"/>
      <c r="L125"/>
      <c r="M125"/>
      <c r="N125"/>
      <c r="O125"/>
      <c r="P125"/>
      <c r="Q125"/>
    </row>
    <row r="126" spans="1:17" ht="14.4" x14ac:dyDescent="0.3">
      <c r="A126"/>
      <c r="B126"/>
      <c r="C126"/>
      <c r="D126"/>
      <c r="E126"/>
      <c r="F126"/>
      <c r="G126"/>
      <c r="H126"/>
      <c r="I126"/>
      <c r="J126"/>
      <c r="K126"/>
      <c r="L126"/>
      <c r="M126"/>
      <c r="N126"/>
      <c r="O126"/>
      <c r="P126"/>
      <c r="Q126"/>
    </row>
    <row r="127" spans="1:17" ht="14.4" x14ac:dyDescent="0.3">
      <c r="A127"/>
      <c r="B127"/>
      <c r="C127"/>
      <c r="D127"/>
      <c r="E127"/>
      <c r="F127"/>
      <c r="G127"/>
      <c r="H127"/>
      <c r="I127"/>
      <c r="J127"/>
      <c r="K127"/>
      <c r="L127"/>
      <c r="M127"/>
      <c r="N127"/>
      <c r="O127"/>
      <c r="P127"/>
      <c r="Q127"/>
    </row>
    <row r="128" spans="1:17" ht="14.4" x14ac:dyDescent="0.3">
      <c r="A128"/>
      <c r="B128"/>
      <c r="C128"/>
      <c r="D128"/>
      <c r="E128"/>
      <c r="F128"/>
      <c r="G128"/>
      <c r="H128"/>
      <c r="I128"/>
      <c r="J128"/>
      <c r="K128"/>
      <c r="L128"/>
      <c r="M128"/>
      <c r="N128"/>
      <c r="O128"/>
      <c r="P128"/>
      <c r="Q128"/>
    </row>
    <row r="129" spans="1:17" ht="14.4" x14ac:dyDescent="0.3">
      <c r="A129"/>
      <c r="B129"/>
      <c r="C129"/>
      <c r="D129"/>
      <c r="E129"/>
      <c r="F129"/>
      <c r="G129"/>
      <c r="H129"/>
      <c r="I129"/>
      <c r="J129"/>
      <c r="K129"/>
      <c r="L129"/>
      <c r="M129"/>
      <c r="N129"/>
      <c r="O129"/>
      <c r="P129"/>
      <c r="Q129"/>
    </row>
    <row r="130" spans="1:17" ht="14.4" x14ac:dyDescent="0.3">
      <c r="A130"/>
      <c r="B130"/>
      <c r="C130"/>
      <c r="D130"/>
    </row>
    <row r="131" spans="1:17" ht="14.4" x14ac:dyDescent="0.3">
      <c r="A131"/>
      <c r="B131"/>
      <c r="C131"/>
      <c r="D131"/>
    </row>
    <row r="132" spans="1:17" ht="14.4" x14ac:dyDescent="0.3">
      <c r="A132"/>
      <c r="B132"/>
      <c r="C132"/>
      <c r="D132"/>
    </row>
    <row r="133" spans="1:17" ht="14.4" x14ac:dyDescent="0.3">
      <c r="A133"/>
      <c r="B133"/>
      <c r="C133"/>
      <c r="D133"/>
    </row>
    <row r="134" spans="1:17" ht="14.4" x14ac:dyDescent="0.3">
      <c r="A134"/>
      <c r="B134"/>
      <c r="C134"/>
      <c r="D134"/>
    </row>
    <row r="135" spans="1:17" ht="14.4" x14ac:dyDescent="0.3">
      <c r="A135"/>
      <c r="B135"/>
      <c r="C135"/>
      <c r="D135"/>
    </row>
    <row r="136" spans="1:17" ht="14.4" x14ac:dyDescent="0.3">
      <c r="A136"/>
      <c r="B136"/>
      <c r="C136"/>
      <c r="D136"/>
    </row>
    <row r="137" spans="1:17" ht="14.4" x14ac:dyDescent="0.3">
      <c r="A137"/>
      <c r="B137"/>
      <c r="C137"/>
      <c r="D137"/>
    </row>
    <row r="138" spans="1:17" ht="14.4" x14ac:dyDescent="0.3">
      <c r="A138"/>
      <c r="B138"/>
      <c r="C138"/>
      <c r="D138"/>
    </row>
    <row r="139" spans="1:17" ht="14.4" x14ac:dyDescent="0.3">
      <c r="A139"/>
      <c r="B139"/>
      <c r="C139"/>
      <c r="D139"/>
    </row>
    <row r="140" spans="1:17" ht="14.4" x14ac:dyDescent="0.3">
      <c r="A140"/>
      <c r="B140"/>
      <c r="C140"/>
      <c r="D140"/>
    </row>
    <row r="141" spans="1:17" ht="14.4" x14ac:dyDescent="0.3">
      <c r="A141"/>
      <c r="B141"/>
      <c r="C141"/>
      <c r="D141"/>
    </row>
    <row r="142" spans="1:17" ht="14.4" x14ac:dyDescent="0.3">
      <c r="A142"/>
      <c r="B142"/>
      <c r="C142"/>
      <c r="D142"/>
    </row>
    <row r="143" spans="1:17" ht="14.4" x14ac:dyDescent="0.3">
      <c r="A143"/>
      <c r="B143"/>
      <c r="C143"/>
      <c r="D143"/>
    </row>
    <row r="144" spans="1:17" ht="14.4" x14ac:dyDescent="0.3">
      <c r="A144"/>
      <c r="B144"/>
      <c r="C144"/>
      <c r="D144"/>
    </row>
    <row r="145" spans="1:4" ht="14.4" x14ac:dyDescent="0.3">
      <c r="A145"/>
      <c r="B145"/>
      <c r="C145"/>
      <c r="D145"/>
    </row>
    <row r="146" spans="1:4" ht="14.4" x14ac:dyDescent="0.3">
      <c r="A146"/>
      <c r="B146"/>
      <c r="C146"/>
      <c r="D146"/>
    </row>
    <row r="147" spans="1:4" ht="14.4" x14ac:dyDescent="0.3">
      <c r="A147"/>
      <c r="B147"/>
      <c r="C147"/>
      <c r="D147"/>
    </row>
    <row r="148" spans="1:4" ht="14.4" x14ac:dyDescent="0.3">
      <c r="A148"/>
      <c r="B148"/>
      <c r="C148"/>
      <c r="D148"/>
    </row>
    <row r="149" spans="1:4" ht="14.4" x14ac:dyDescent="0.3">
      <c r="A149"/>
      <c r="B149"/>
      <c r="C149"/>
      <c r="D149"/>
    </row>
    <row r="150" spans="1:4" ht="14.4" x14ac:dyDescent="0.3">
      <c r="A150"/>
      <c r="B150"/>
      <c r="C150"/>
      <c r="D150"/>
    </row>
    <row r="151" spans="1:4" ht="14.4" x14ac:dyDescent="0.3">
      <c r="A151"/>
      <c r="B151"/>
      <c r="C151"/>
      <c r="D151"/>
    </row>
    <row r="152" spans="1:4" ht="14.4" x14ac:dyDescent="0.3">
      <c r="A152"/>
      <c r="B152"/>
      <c r="C152"/>
      <c r="D152"/>
    </row>
    <row r="153" spans="1:4" ht="14.4" x14ac:dyDescent="0.3">
      <c r="A153"/>
      <c r="B153"/>
      <c r="C153"/>
      <c r="D153"/>
    </row>
    <row r="154" spans="1:4" ht="14.4" x14ac:dyDescent="0.3">
      <c r="A154"/>
      <c r="B154"/>
      <c r="C154"/>
      <c r="D154"/>
    </row>
    <row r="155" spans="1:4" ht="14.4" x14ac:dyDescent="0.3">
      <c r="A155"/>
      <c r="B155"/>
      <c r="C155"/>
      <c r="D155"/>
    </row>
    <row r="156" spans="1:4" ht="14.4" x14ac:dyDescent="0.3">
      <c r="A156"/>
      <c r="B156"/>
      <c r="C156"/>
      <c r="D156"/>
    </row>
    <row r="157" spans="1:4" ht="14.4" x14ac:dyDescent="0.3">
      <c r="A157"/>
      <c r="B157"/>
      <c r="C157"/>
      <c r="D157"/>
    </row>
    <row r="158" spans="1:4" ht="14.4" x14ac:dyDescent="0.3">
      <c r="A158"/>
      <c r="B158"/>
      <c r="C158"/>
      <c r="D158"/>
    </row>
    <row r="159" spans="1:4" ht="14.4" x14ac:dyDescent="0.3">
      <c r="A159"/>
      <c r="B159"/>
      <c r="C159"/>
      <c r="D159"/>
    </row>
    <row r="160" spans="1:4" ht="14.4" x14ac:dyDescent="0.3">
      <c r="A160"/>
      <c r="B160"/>
      <c r="C160"/>
      <c r="D160"/>
    </row>
    <row r="161" spans="1:4" ht="14.4" x14ac:dyDescent="0.3">
      <c r="A161"/>
      <c r="B161"/>
      <c r="C161"/>
      <c r="D161"/>
    </row>
    <row r="162" spans="1:4" ht="14.4" x14ac:dyDescent="0.3">
      <c r="A162"/>
      <c r="B162"/>
      <c r="C162"/>
      <c r="D162"/>
    </row>
    <row r="163" spans="1:4" ht="14.4" x14ac:dyDescent="0.3">
      <c r="A163"/>
      <c r="B163"/>
      <c r="C163"/>
      <c r="D163"/>
    </row>
    <row r="164" spans="1:4" ht="14.4" x14ac:dyDescent="0.3">
      <c r="A164"/>
      <c r="B164"/>
      <c r="C164"/>
      <c r="D164"/>
    </row>
    <row r="165" spans="1:4" ht="14.4" x14ac:dyDescent="0.3">
      <c r="A165"/>
      <c r="B165"/>
      <c r="C165"/>
      <c r="D165"/>
    </row>
    <row r="166" spans="1:4" ht="14.4" x14ac:dyDescent="0.3">
      <c r="A166"/>
      <c r="B166"/>
      <c r="C166"/>
      <c r="D166"/>
    </row>
    <row r="167" spans="1:4" ht="14.4" x14ac:dyDescent="0.3">
      <c r="A167"/>
      <c r="B167"/>
      <c r="C167"/>
      <c r="D167"/>
    </row>
    <row r="168" spans="1:4" ht="14.4" x14ac:dyDescent="0.3">
      <c r="A168"/>
      <c r="B168"/>
      <c r="C168"/>
      <c r="D168"/>
    </row>
    <row r="169" spans="1:4" ht="14.4" x14ac:dyDescent="0.3">
      <c r="A169"/>
      <c r="B169"/>
      <c r="C169"/>
      <c r="D169"/>
    </row>
    <row r="170" spans="1:4" ht="14.4" x14ac:dyDescent="0.3">
      <c r="A170"/>
      <c r="B170"/>
      <c r="C170"/>
      <c r="D170"/>
    </row>
    <row r="171" spans="1:4" ht="14.4" x14ac:dyDescent="0.3">
      <c r="A171"/>
      <c r="B171"/>
      <c r="C171"/>
      <c r="D171"/>
    </row>
    <row r="172" spans="1:4" ht="14.4" x14ac:dyDescent="0.3">
      <c r="A172"/>
      <c r="B172"/>
      <c r="C172"/>
      <c r="D172"/>
    </row>
    <row r="173" spans="1:4" ht="14.4" x14ac:dyDescent="0.3">
      <c r="A173"/>
      <c r="B173"/>
      <c r="C173"/>
      <c r="D173"/>
    </row>
    <row r="174" spans="1:4" ht="14.4" x14ac:dyDescent="0.3">
      <c r="A174"/>
      <c r="B174"/>
      <c r="C174"/>
      <c r="D174"/>
    </row>
    <row r="175" spans="1:4" ht="14.4" x14ac:dyDescent="0.3">
      <c r="A175"/>
      <c r="B175"/>
      <c r="C175"/>
      <c r="D175"/>
    </row>
    <row r="176" spans="1:4" ht="14.4" x14ac:dyDescent="0.3">
      <c r="A176"/>
      <c r="B176"/>
      <c r="C176"/>
      <c r="D176"/>
    </row>
    <row r="177" spans="1:4" ht="14.4" x14ac:dyDescent="0.3">
      <c r="A177"/>
      <c r="B177"/>
      <c r="C177"/>
      <c r="D177"/>
    </row>
    <row r="178" spans="1:4" ht="14.4" x14ac:dyDescent="0.3">
      <c r="A178"/>
      <c r="B178"/>
      <c r="C178"/>
      <c r="D178"/>
    </row>
    <row r="179" spans="1:4" ht="14.4" x14ac:dyDescent="0.3">
      <c r="A179"/>
      <c r="B179"/>
      <c r="C179"/>
      <c r="D179"/>
    </row>
    <row r="180" spans="1:4" ht="14.4" x14ac:dyDescent="0.3">
      <c r="A180"/>
      <c r="B180"/>
      <c r="C180"/>
      <c r="D180"/>
    </row>
    <row r="181" spans="1:4" ht="14.4" x14ac:dyDescent="0.3">
      <c r="A181"/>
      <c r="B181"/>
      <c r="C181"/>
      <c r="D181"/>
    </row>
  </sheetData>
  <pageMargins left="0.7" right="0.7" top="0.75" bottom="0.75" header="0.3" footer="0.3"/>
  <pageSetup paperSize="9" orientation="portrait" verticalDpi="300"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b73479-60cb-42aa-b48e-373cd33afd69">
      <Terms xmlns="http://schemas.microsoft.com/office/infopath/2007/PartnerControls"/>
    </lcf76f155ced4ddcb4097134ff3c332f>
    <TaxCatchAll xmlns="4b843e20-b01b-481d-badb-ccb59c26db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CAE6123B71C44382E60652D1CCEC9F" ma:contentTypeVersion="19" ma:contentTypeDescription="Create a new document." ma:contentTypeScope="" ma:versionID="8d1ccdb176ecb4ae65409f24657b59d8">
  <xsd:schema xmlns:xsd="http://www.w3.org/2001/XMLSchema" xmlns:xs="http://www.w3.org/2001/XMLSchema" xmlns:p="http://schemas.microsoft.com/office/2006/metadata/properties" xmlns:ns2="aeb73479-60cb-42aa-b48e-373cd33afd69" xmlns:ns3="4b843e20-b01b-481d-badb-ccb59c26db61" targetNamespace="http://schemas.microsoft.com/office/2006/metadata/properties" ma:root="true" ma:fieldsID="9c213e1534831a45259494e0e71cb642" ns2:_="" ns3:_="">
    <xsd:import namespace="aeb73479-60cb-42aa-b48e-373cd33afd69"/>
    <xsd:import namespace="4b843e20-b01b-481d-badb-ccb59c26db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73479-60cb-42aa-b48e-373cd33afd6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c7e13a9-b2ac-48dc-b4f0-1533e77021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843e20-b01b-481d-badb-ccb59c26db6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e9fe2b2-cd82-447c-956c-c94c40a79d73}" ma:internalName="TaxCatchAll" ma:showField="CatchAllData" ma:web="4b843e20-b01b-481d-badb-ccb59c26db6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C82D94-8817-442C-8B27-AC3475094FF6}">
  <ds:schemaRefs>
    <ds:schemaRef ds:uri="http://schemas.microsoft.com/office/2006/metadata/properties"/>
    <ds:schemaRef ds:uri="http://schemas.microsoft.com/office/infopath/2007/PartnerControls"/>
    <ds:schemaRef ds:uri="aeb73479-60cb-42aa-b48e-373cd33afd69"/>
    <ds:schemaRef ds:uri="4b843e20-b01b-481d-badb-ccb59c26db61"/>
  </ds:schemaRefs>
</ds:datastoreItem>
</file>

<file path=customXml/itemProps2.xml><?xml version="1.0" encoding="utf-8"?>
<ds:datastoreItem xmlns:ds="http://schemas.openxmlformats.org/officeDocument/2006/customXml" ds:itemID="{02FE1672-B0FB-4266-BE29-6E2EB2157E9D}">
  <ds:schemaRefs>
    <ds:schemaRef ds:uri="http://schemas.microsoft.com/sharepoint/v3/contenttype/forms"/>
  </ds:schemaRefs>
</ds:datastoreItem>
</file>

<file path=customXml/itemProps3.xml><?xml version="1.0" encoding="utf-8"?>
<ds:datastoreItem xmlns:ds="http://schemas.openxmlformats.org/officeDocument/2006/customXml" ds:itemID="{A84489DA-B8E1-4EB4-8A0A-E2AD7B2D66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73479-60cb-42aa-b48e-373cd33afd69"/>
    <ds:schemaRef ds:uri="4b843e20-b01b-481d-badb-ccb59c26d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CRF Source Data Config 2026</vt:lpstr>
      <vt:lpstr>CRF Source Data Config 2025</vt:lpstr>
      <vt:lpstr>CRF Source Data Config 2024</vt:lpstr>
      <vt:lpstr>Source Data Old</vt:lpstr>
      <vt:lpstr>Pivots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Dilip Kumar</dc:creator>
  <cp:keywords/>
  <dc:description/>
  <cp:lastModifiedBy>Nischith</cp:lastModifiedBy>
  <cp:revision/>
  <dcterms:created xsi:type="dcterms:W3CDTF">2018-05-23T09:39:15Z</dcterms:created>
  <dcterms:modified xsi:type="dcterms:W3CDTF">2026-08-24T07:13:13Z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0x0101004BCAE6123B71C44382E60652D1CCEC9F</vt:lpwstr>
  </property>
  <property fmtid="{D5CDD505-2E9C-101B-9397-08002B2CF9AE}" pid="3" name="AuthorIds_UIVersion_129536">
    <vt:lpwstr>279</vt:lpwstr>
  </property>
  <property fmtid="{D5CDD505-2E9C-101B-9397-08002B2CF9AE}" pid="4" name="MediaServiceImageTags">
    <vt:lpwstr/>
  </property>
</Properties>
</file>