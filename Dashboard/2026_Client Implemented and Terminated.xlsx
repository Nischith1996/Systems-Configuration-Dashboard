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nischith\Downloads\"/>
    </mc:Choice>
  </mc:AlternateContent>
  <xr:revisionPtr revIDLastSave="0" documentId="13_ncr:1_{73035AE3-FEBE-42D3-9C24-85B49DE44DD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" sheetId="13" r:id="rId1"/>
    <sheet name="2025" sheetId="12" r:id="rId2"/>
    <sheet name="2024" sheetId="11" r:id="rId3"/>
  </sheets>
  <definedNames>
    <definedName name="_xlnm._FilterDatabase" localSheetId="1" hidden="1">'2025'!$A$2:$H$2</definedName>
    <definedName name="_xlnm._FilterDatabase" localSheetId="0" hidden="1">'2026'!$A$2:$H$2</definedName>
  </definedNames>
  <calcPr calcId="191028" iterateDelta="1E-4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4" i="12" l="1"/>
  <c r="G24" i="12"/>
  <c r="M30" i="13"/>
  <c r="G30" i="13"/>
  <c r="M18" i="11"/>
  <c r="G18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tc={4748FAC2-D28F-4A99-867D-9967E63F5ED9}</author>
  </authors>
  <commentList>
    <comment ref="F10" authorId="0" shapeId="0" xr:uid="{4748FAC2-D28F-4A99-867D-9967E63F5ED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went live only with NAMCO</t>
      </text>
    </comment>
  </commentList>
</comments>
</file>

<file path=xl/sharedStrings.xml><?xml version="1.0" encoding="utf-8"?>
<sst xmlns="http://schemas.openxmlformats.org/spreadsheetml/2006/main" count="251" uniqueCount="125">
  <si>
    <t>Client Name</t>
  </si>
  <si>
    <t>Barnum and Celillo Electric Inc</t>
  </si>
  <si>
    <t>C. Mondavi and Family</t>
  </si>
  <si>
    <t>Custom-Pak</t>
  </si>
  <si>
    <t>Deerfield Management</t>
  </si>
  <si>
    <t>EOS Fitness</t>
  </si>
  <si>
    <t>Pak-Lite Inc</t>
  </si>
  <si>
    <t>Hilldrup</t>
  </si>
  <si>
    <t>City of Clive</t>
  </si>
  <si>
    <t>HealthCare Access Maryland Inc</t>
  </si>
  <si>
    <t>Clients Implemented</t>
  </si>
  <si>
    <t>Clients Terminated</t>
  </si>
  <si>
    <t>Sl. No.</t>
  </si>
  <si>
    <t>Broker</t>
  </si>
  <si>
    <t>Design Guide Received date</t>
  </si>
  <si>
    <t>Implementation Completion Date</t>
  </si>
  <si>
    <t>Client Go Live Date</t>
  </si>
  <si>
    <t xml:space="preserve">Headcount </t>
  </si>
  <si>
    <t>Sl No.</t>
  </si>
  <si>
    <t>Clients</t>
  </si>
  <si>
    <t>Termination Effective Date</t>
  </si>
  <si>
    <t>EE Headcount</t>
  </si>
  <si>
    <t>Reason</t>
  </si>
  <si>
    <t>Colite Technologies</t>
  </si>
  <si>
    <t>LumberFi, Inc</t>
  </si>
  <si>
    <t>EPIC</t>
  </si>
  <si>
    <t>​Moving to BRMS admin</t>
  </si>
  <si>
    <t>Team Altus - E7 Defense</t>
  </si>
  <si>
    <t>TetraMem</t>
  </si>
  <si>
    <t xml:space="preserve">	Johnson and Dugan</t>
  </si>
  <si>
    <t>K and K Inc</t>
  </si>
  <si>
    <t>Odyssey Manufacturing Co</t>
  </si>
  <si>
    <t>Moving to Paylocity</t>
  </si>
  <si>
    <t>McBride Building Supply</t>
  </si>
  <si>
    <t>Mangieri Electric</t>
  </si>
  <si>
    <t>​Left Lumber</t>
  </si>
  <si>
    <t>Monks Painting</t>
  </si>
  <si>
    <t>NFP</t>
  </si>
  <si>
    <t>Stratus Systems LLC</t>
  </si>
  <si>
    <t>United Services Group</t>
  </si>
  <si>
    <t>Precision Group</t>
  </si>
  <si>
    <t>NS Giles</t>
  </si>
  <si>
    <t>​Didn’t like Lumber Payroll​</t>
  </si>
  <si>
    <t>Bryan Construction Inc</t>
  </si>
  <si>
    <t>SPC Mechanical</t>
  </si>
  <si>
    <t>Moved to BambooHr</t>
  </si>
  <si>
    <t>Quest Building Corp</t>
  </si>
  <si>
    <t>IMA Financial Group</t>
  </si>
  <si>
    <t>Consolidating systems</t>
  </si>
  <si>
    <t>Buffalo Framing and Truss LLC</t>
  </si>
  <si>
    <t>Fiore and Sons Inc</t>
  </si>
  <si>
    <t>Holmes Murphy</t>
  </si>
  <si>
    <t>Employee Navigator</t>
  </si>
  <si>
    <t xml:space="preserve">Yet to Live </t>
  </si>
  <si>
    <t>Bowman Steel LLC</t>
  </si>
  <si>
    <t>Complete Fence</t>
  </si>
  <si>
    <t>Horseshoe Construction Inc</t>
  </si>
  <si>
    <t>JL Walter Associates Inc</t>
  </si>
  <si>
    <t>Norman S. Wright Climatec</t>
  </si>
  <si>
    <t>Engineering Wireless Services</t>
  </si>
  <si>
    <t>AC Systems</t>
  </si>
  <si>
    <t>Advanced Refrigeration and Air Inc</t>
  </si>
  <si>
    <t>Jakes Electric LLC</t>
  </si>
  <si>
    <t xml:space="preserve">Recycling Enterprises and Subsidiaries	</t>
  </si>
  <si>
    <t>ADK Electric Corporation</t>
  </si>
  <si>
    <t>Skyline Restoration Inc</t>
  </si>
  <si>
    <t>Integrated Service Company LLC</t>
  </si>
  <si>
    <t>Virginia Crane</t>
  </si>
  <si>
    <t>KBS Inc</t>
  </si>
  <si>
    <t>Total Headcount</t>
  </si>
  <si>
    <t>Metal Pros LLC</t>
  </si>
  <si>
    <t>Lilium</t>
  </si>
  <si>
    <t>TrueNorth</t>
  </si>
  <si>
    <t>Moved to another Vendor</t>
  </si>
  <si>
    <t>Spencer Construction</t>
  </si>
  <si>
    <t>Hydrafacial LLC</t>
  </si>
  <si>
    <t>Arthur J Gallagher EBS</t>
  </si>
  <si>
    <t>Moved to Workday</t>
  </si>
  <si>
    <t>W.T.Rich</t>
  </si>
  <si>
    <t>Akamai Energies</t>
  </si>
  <si>
    <t>Client has termed with Lumber</t>
  </si>
  <si>
    <t>Castles Technology</t>
  </si>
  <si>
    <t>Dickerson Insurance Service</t>
  </si>
  <si>
    <t>Moved to Ease</t>
  </si>
  <si>
    <t>Delta Peanut</t>
  </si>
  <si>
    <t>Client Termed without Live</t>
  </si>
  <si>
    <t>K2 Construction</t>
  </si>
  <si>
    <t>Evans Contracting Group</t>
  </si>
  <si>
    <t>Fort Madison and Montrose and Tama Toledo</t>
  </si>
  <si>
    <t>Maspeth Welding</t>
  </si>
  <si>
    <t>LTMS</t>
  </si>
  <si>
    <t>Downes Construction Company LLC</t>
  </si>
  <si>
    <t>Wagner Roofing Company</t>
  </si>
  <si>
    <t xml:space="preserve">​Going to some other payroll vendor.​ </t>
  </si>
  <si>
    <t xml:space="preserve">	Tribridge Partners</t>
  </si>
  <si>
    <t>Moving to Paycor</t>
  </si>
  <si>
    <t>Direct Traffic Control Inc</t>
  </si>
  <si>
    <t>Interior Investments LLC</t>
  </si>
  <si>
    <t xml:space="preserve">​Alternative benefits system​ </t>
  </si>
  <si>
    <t>Marcus Construction</t>
  </si>
  <si>
    <t>Moving to another system</t>
  </si>
  <si>
    <t>Higdon Construction LLC</t>
  </si>
  <si>
    <t>North American Manufacturing Corp</t>
  </si>
  <si>
    <t>Lulazon Logistics LLC.</t>
  </si>
  <si>
    <t>Elevated Benefits</t>
  </si>
  <si>
    <t>Moving to ADP</t>
  </si>
  <si>
    <t>Lead The Way Logistics</t>
  </si>
  <si>
    <t>Cottingham &amp; Butler</t>
  </si>
  <si>
    <t>Thompson Concrete</t>
  </si>
  <si>
    <t>Brookfield Enterprise</t>
  </si>
  <si>
    <t>Terminated as no response received</t>
  </si>
  <si>
    <t>Sievert Electric</t>
  </si>
  <si>
    <t>Cha Ching dba. Great Clips</t>
  </si>
  <si>
    <t>OneSource Restoration LLC</t>
  </si>
  <si>
    <t>Jiffy Air Tool Inc</t>
  </si>
  <si>
    <t>Mid-Iowa Milling</t>
  </si>
  <si>
    <t>Shaw Engineering</t>
  </si>
  <si>
    <t>Icon Health</t>
  </si>
  <si>
    <t>Lance Gilman Commercial Real Estate</t>
  </si>
  <si>
    <t>Assured Partners</t>
  </si>
  <si>
    <t>Moving to UKG(Client is Active by Nitya and Denna)</t>
  </si>
  <si>
    <t>Wesleyan School Inc.</t>
  </si>
  <si>
    <t xml:space="preserve">	The Benefit Company</t>
  </si>
  <si>
    <t>CEC</t>
  </si>
  <si>
    <t>NFW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</si>
</sst>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sz val="9"/>
      <color rgb="FF000000"/>
      <name val="Arial"/>
    </font>
    <font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1"/>
      <color rgb="FF000000"/>
      <name val="Arial"/>
    </font>
    <font>
      <b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8CBAD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/>
      <diagonal/>
    </border>
  </borders>
  <cellStyleXfs count="1">
    <xf numFmtId="0" fontId="0" fillId="0" borderId="0"/>
  </cellStyleXfs>
  <cellXfs count="185">
    <xf numFmtId="0" fontId="0" fillId="0" borderId="0" xfId="0"/>
    <xf numFmtId="0" fontId="0" fillId="0" borderId="0" xfId="0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14" fontId="4" fillId="0" borderId="4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4" fillId="0" borderId="4" xfId="0" applyFont="1" applyBorder="1" applyAlignment="1">
      <alignment horizontal="left" vertical="center" wrapText="1"/>
    </xf>
    <xf numFmtId="0" fontId="1" fillId="0" borderId="0" xfId="0" applyFont="1"/>
    <xf numFmtId="0" fontId="4" fillId="0" borderId="1" xfId="0" applyFont="1" applyBorder="1" applyAlignment="1">
      <alignment horizontal="center" vertical="center"/>
    </xf>
    <xf numFmtId="0" fontId="3" fillId="3" borderId="8" xfId="0" applyFont="1" applyFill="1" applyBorder="1" applyAlignment="1">
      <alignment horizontal="center"/>
    </xf>
    <xf numFmtId="0" fontId="4" fillId="0" borderId="4" xfId="0" applyFont="1" applyBorder="1" applyAlignment="1">
      <alignment vertical="center" wrapText="1"/>
    </xf>
    <xf numFmtId="14" fontId="4" fillId="0" borderId="6" xfId="0" applyNumberFormat="1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14" fontId="4" fillId="0" borderId="15" xfId="0" applyNumberFormat="1" applyFont="1" applyBorder="1" applyAlignment="1">
      <alignment horizontal="center" vertical="center"/>
    </xf>
    <xf numFmtId="14" fontId="4" fillId="0" borderId="16" xfId="0" applyNumberFormat="1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4" fontId="4" fillId="0" borderId="13" xfId="0" applyNumberFormat="1" applyFont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19" xfId="0" applyFont="1" applyBorder="1" applyAlignment="1">
      <alignment vertical="center"/>
    </xf>
    <xf numFmtId="14" fontId="4" fillId="0" borderId="19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vertical="center"/>
    </xf>
    <xf numFmtId="14" fontId="4" fillId="0" borderId="25" xfId="0" applyNumberFormat="1" applyFont="1" applyBorder="1" applyAlignment="1">
      <alignment horizontal="center" vertical="center"/>
    </xf>
    <xf numFmtId="0" fontId="3" fillId="3" borderId="26" xfId="0" applyFont="1" applyFill="1" applyBorder="1" applyAlignment="1">
      <alignment horizontal="center"/>
    </xf>
    <xf numFmtId="14" fontId="4" fillId="0" borderId="27" xfId="0" applyNumberFormat="1" applyFont="1" applyBorder="1" applyAlignment="1">
      <alignment horizontal="center" vertical="center"/>
    </xf>
    <xf numFmtId="14" fontId="4" fillId="0" borderId="12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5" fillId="5" borderId="28" xfId="0" applyFont="1" applyFill="1" applyBorder="1" applyAlignment="1">
      <alignment horizontal="center"/>
    </xf>
    <xf numFmtId="0" fontId="5" fillId="5" borderId="29" xfId="0" applyFont="1" applyFill="1" applyBorder="1" applyAlignment="1">
      <alignment horizontal="center"/>
    </xf>
    <xf numFmtId="0" fontId="6" fillId="0" borderId="30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6" fillId="0" borderId="34" xfId="0" applyFont="1" applyBorder="1" applyAlignment="1">
      <alignment horizontal="center" vertical="center"/>
    </xf>
    <xf numFmtId="14" fontId="4" fillId="0" borderId="18" xfId="0" applyNumberFormat="1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14" fontId="4" fillId="0" borderId="33" xfId="0" applyNumberFormat="1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4" fillId="0" borderId="33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40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2" fillId="2" borderId="43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44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14" fontId="4" fillId="0" borderId="37" xfId="0" applyNumberFormat="1" applyFont="1" applyBorder="1" applyAlignment="1">
      <alignment horizontal="center" vertical="center"/>
    </xf>
    <xf numFmtId="0" fontId="4" fillId="0" borderId="41" xfId="0" applyFont="1" applyBorder="1" applyAlignment="1">
      <alignment vertical="center"/>
    </xf>
    <xf numFmtId="0" fontId="4" fillId="0" borderId="24" xfId="0" applyFont="1" applyBorder="1" applyAlignment="1">
      <alignment vertical="center"/>
    </xf>
    <xf numFmtId="0" fontId="4" fillId="0" borderId="42" xfId="0" applyFont="1" applyBorder="1" applyAlignment="1">
      <alignment vertical="center"/>
    </xf>
    <xf numFmtId="0" fontId="4" fillId="0" borderId="47" xfId="0" applyFont="1" applyBorder="1" applyAlignment="1">
      <alignment horizontal="center" vertical="center"/>
    </xf>
    <xf numFmtId="0" fontId="5" fillId="5" borderId="31" xfId="0" applyFont="1" applyFill="1" applyBorder="1" applyAlignment="1">
      <alignment horizontal="center"/>
    </xf>
    <xf numFmtId="0" fontId="4" fillId="0" borderId="13" xfId="0" applyFont="1" applyBorder="1" applyAlignment="1">
      <alignment vertical="center"/>
    </xf>
    <xf numFmtId="14" fontId="7" fillId="0" borderId="24" xfId="0" applyNumberFormat="1" applyFont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4" fillId="0" borderId="31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8" fillId="3" borderId="8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8" fillId="3" borderId="26" xfId="0" applyFont="1" applyFill="1" applyBorder="1" applyAlignment="1">
      <alignment horizontal="center"/>
    </xf>
    <xf numFmtId="0" fontId="9" fillId="2" borderId="21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9" fillId="2" borderId="43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42" xfId="0" applyFont="1" applyBorder="1" applyAlignment="1">
      <alignment vertical="center"/>
    </xf>
    <xf numFmtId="14" fontId="10" fillId="0" borderId="37" xfId="0" applyNumberFormat="1" applyFont="1" applyBorder="1" applyAlignment="1">
      <alignment horizontal="center" vertical="center"/>
    </xf>
    <xf numFmtId="14" fontId="10" fillId="0" borderId="4" xfId="0" applyNumberFormat="1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8" fillId="3" borderId="0" xfId="0" applyFont="1" applyFill="1" applyAlignment="1">
      <alignment horizontal="center"/>
    </xf>
    <xf numFmtId="0" fontId="11" fillId="0" borderId="23" xfId="0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14" fontId="10" fillId="0" borderId="6" xfId="0" applyNumberFormat="1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24" xfId="0" applyFont="1" applyBorder="1" applyAlignment="1">
      <alignment vertical="center"/>
    </xf>
    <xf numFmtId="0" fontId="10" fillId="0" borderId="13" xfId="0" applyFont="1" applyBorder="1" applyAlignment="1">
      <alignment horizontal="center" vertical="center"/>
    </xf>
    <xf numFmtId="14" fontId="12" fillId="0" borderId="24" xfId="0" applyNumberFormat="1" applyFont="1" applyBorder="1" applyAlignment="1">
      <alignment horizontal="center" vertical="center"/>
    </xf>
    <xf numFmtId="0" fontId="10" fillId="0" borderId="12" xfId="0" applyFont="1" applyBorder="1" applyAlignment="1">
      <alignment vertical="center"/>
    </xf>
    <xf numFmtId="0" fontId="10" fillId="0" borderId="32" xfId="0" applyFont="1" applyBorder="1" applyAlignment="1">
      <alignment horizontal="center" vertical="center"/>
    </xf>
    <xf numFmtId="0" fontId="10" fillId="0" borderId="13" xfId="0" applyFont="1" applyBorder="1" applyAlignment="1">
      <alignment vertical="center"/>
    </xf>
    <xf numFmtId="14" fontId="10" fillId="0" borderId="42" xfId="0" applyNumberFormat="1" applyFont="1" applyBorder="1" applyAlignment="1">
      <alignment horizontal="center" vertical="center"/>
    </xf>
    <xf numFmtId="0" fontId="9" fillId="0" borderId="42" xfId="0" applyFont="1" applyBorder="1" applyAlignment="1">
      <alignment vertical="center"/>
    </xf>
    <xf numFmtId="0" fontId="9" fillId="0" borderId="32" xfId="0" applyFont="1" applyBorder="1" applyAlignment="1">
      <alignment vertical="center"/>
    </xf>
    <xf numFmtId="0" fontId="8" fillId="3" borderId="49" xfId="0" applyFont="1" applyFill="1" applyBorder="1" applyAlignment="1">
      <alignment horizontal="center"/>
    </xf>
    <xf numFmtId="0" fontId="10" fillId="6" borderId="42" xfId="0" applyFont="1" applyFill="1" applyBorder="1" applyAlignment="1">
      <alignment vertical="center"/>
    </xf>
    <xf numFmtId="0" fontId="13" fillId="3" borderId="49" xfId="0" applyFont="1" applyFill="1" applyBorder="1" applyAlignment="1">
      <alignment horizontal="center"/>
    </xf>
    <xf numFmtId="0" fontId="10" fillId="0" borderId="41" xfId="0" applyFont="1" applyBorder="1" applyAlignment="1">
      <alignment vertical="center"/>
    </xf>
    <xf numFmtId="0" fontId="10" fillId="0" borderId="31" xfId="0" applyFont="1" applyBorder="1" applyAlignment="1">
      <alignment vertical="center"/>
    </xf>
    <xf numFmtId="0" fontId="13" fillId="4" borderId="6" xfId="0" applyFont="1" applyFill="1" applyBorder="1" applyAlignment="1">
      <alignment horizontal="center" vertical="center"/>
    </xf>
    <xf numFmtId="0" fontId="13" fillId="5" borderId="28" xfId="0" applyFont="1" applyFill="1" applyBorder="1" applyAlignment="1">
      <alignment horizontal="center"/>
    </xf>
    <xf numFmtId="14" fontId="12" fillId="0" borderId="32" xfId="0" applyNumberFormat="1" applyFont="1" applyBorder="1" applyAlignment="1">
      <alignment horizontal="center" vertical="center"/>
    </xf>
    <xf numFmtId="0" fontId="9" fillId="0" borderId="33" xfId="0" applyFont="1" applyBorder="1" applyAlignment="1">
      <alignment vertical="center"/>
    </xf>
    <xf numFmtId="0" fontId="4" fillId="0" borderId="32" xfId="0" applyFont="1" applyBorder="1" applyAlignment="1">
      <alignment vertical="center"/>
    </xf>
    <xf numFmtId="0" fontId="4" fillId="0" borderId="50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51" xfId="0" applyFont="1" applyBorder="1" applyAlignment="1">
      <alignment vertical="center"/>
    </xf>
    <xf numFmtId="14" fontId="4" fillId="0" borderId="32" xfId="0" applyNumberFormat="1" applyFont="1" applyBorder="1" applyAlignment="1">
      <alignment horizontal="center" vertical="center"/>
    </xf>
    <xf numFmtId="14" fontId="4" fillId="0" borderId="14" xfId="0" applyNumberFormat="1" applyFont="1" applyBorder="1" applyAlignment="1">
      <alignment horizontal="center" vertical="center"/>
    </xf>
    <xf numFmtId="14" fontId="4" fillId="0" borderId="41" xfId="0" applyNumberFormat="1" applyFont="1" applyBorder="1" applyAlignment="1">
      <alignment horizontal="center" vertical="center"/>
    </xf>
    <xf numFmtId="14" fontId="4" fillId="0" borderId="31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3" fillId="3" borderId="53" xfId="0" applyFont="1" applyFill="1" applyBorder="1" applyAlignment="1">
      <alignment horizontal="center"/>
    </xf>
    <xf numFmtId="0" fontId="3" fillId="3" borderId="33" xfId="0" applyFont="1" applyFill="1" applyBorder="1" applyAlignment="1">
      <alignment horizontal="center"/>
    </xf>
    <xf numFmtId="0" fontId="6" fillId="0" borderId="27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4" fillId="0" borderId="37" xfId="0" applyFont="1" applyBorder="1" applyAlignment="1">
      <alignment vertical="center"/>
    </xf>
    <xf numFmtId="0" fontId="4" fillId="0" borderId="38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54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14" fontId="4" fillId="0" borderId="56" xfId="0" applyNumberFormat="1" applyFont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0" fillId="0" borderId="42" xfId="0" applyFont="1" applyBorder="1" applyAlignment="1">
      <alignment horizontal="center" vertical="center"/>
    </xf>
    <xf numFmtId="0" fontId="10" fillId="0" borderId="42" xfId="0" applyFont="1" applyBorder="1" applyAlignment="1">
      <alignment horizontal="left" vertical="center"/>
    </xf>
    <xf numFmtId="0" fontId="10" fillId="0" borderId="33" xfId="0" applyFont="1" applyBorder="1" applyAlignment="1">
      <alignment vertical="center"/>
    </xf>
    <xf numFmtId="0" fontId="10" fillId="0" borderId="26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14" fontId="10" fillId="0" borderId="13" xfId="0" applyNumberFormat="1" applyFont="1" applyBorder="1" applyAlignment="1">
      <alignment horizontal="center" vertical="center"/>
    </xf>
    <xf numFmtId="14" fontId="10" fillId="0" borderId="12" xfId="0" applyNumberFormat="1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vertical="center"/>
    </xf>
    <xf numFmtId="14" fontId="10" fillId="0" borderId="31" xfId="0" applyNumberFormat="1" applyFont="1" applyBorder="1" applyAlignment="1">
      <alignment horizontal="center" vertical="center"/>
    </xf>
    <xf numFmtId="0" fontId="13" fillId="5" borderId="32" xfId="0" applyFont="1" applyFill="1" applyBorder="1" applyAlignment="1">
      <alignment horizontal="center"/>
    </xf>
    <xf numFmtId="0" fontId="9" fillId="0" borderId="31" xfId="0" applyFont="1" applyBorder="1" applyAlignment="1">
      <alignment vertical="center"/>
    </xf>
    <xf numFmtId="0" fontId="9" fillId="0" borderId="17" xfId="0" applyFont="1" applyBorder="1" applyAlignment="1">
      <alignment vertical="center"/>
    </xf>
    <xf numFmtId="14" fontId="10" fillId="0" borderId="14" xfId="0" applyNumberFormat="1" applyFont="1" applyBorder="1" applyAlignment="1">
      <alignment horizontal="center" vertical="center"/>
    </xf>
    <xf numFmtId="14" fontId="10" fillId="0" borderId="17" xfId="0" applyNumberFormat="1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 indent="1"/>
    </xf>
    <xf numFmtId="0" fontId="10" fillId="0" borderId="31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14" fontId="10" fillId="0" borderId="35" xfId="0" applyNumberFormat="1" applyFont="1" applyBorder="1" applyAlignment="1">
      <alignment horizontal="center" vertical="center"/>
    </xf>
    <xf numFmtId="14" fontId="12" fillId="0" borderId="19" xfId="0" applyNumberFormat="1" applyFont="1" applyBorder="1" applyAlignment="1">
      <alignment horizontal="center" vertical="center"/>
    </xf>
    <xf numFmtId="14" fontId="10" fillId="0" borderId="18" xfId="0" applyNumberFormat="1" applyFont="1" applyBorder="1" applyAlignment="1">
      <alignment horizontal="center" vertical="center"/>
    </xf>
    <xf numFmtId="14" fontId="10" fillId="0" borderId="27" xfId="0" applyNumberFormat="1" applyFont="1" applyBorder="1" applyAlignment="1">
      <alignment horizontal="center" vertical="center"/>
    </xf>
    <xf numFmtId="14" fontId="10" fillId="0" borderId="41" xfId="0" applyNumberFormat="1" applyFont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14" fontId="12" fillId="0" borderId="35" xfId="0" applyNumberFormat="1" applyFont="1" applyBorder="1" applyAlignment="1">
      <alignment horizontal="center" vertical="center"/>
    </xf>
    <xf numFmtId="14" fontId="10" fillId="0" borderId="53" xfId="0" applyNumberFormat="1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" fillId="0" borderId="7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3" fillId="4" borderId="32" xfId="0" applyFont="1" applyFill="1" applyBorder="1" applyAlignment="1">
      <alignment horizontal="center" vertical="center"/>
    </xf>
    <xf numFmtId="0" fontId="13" fillId="4" borderId="33" xfId="0" applyFont="1" applyFill="1" applyBorder="1" applyAlignment="1">
      <alignment horizontal="center" vertical="center"/>
    </xf>
    <xf numFmtId="0" fontId="13" fillId="4" borderId="38" xfId="0" applyFont="1" applyFill="1" applyBorder="1" applyAlignment="1">
      <alignment horizontal="center" vertical="center"/>
    </xf>
    <xf numFmtId="0" fontId="5" fillId="4" borderId="32" xfId="0" applyFont="1" applyFill="1" applyBorder="1" applyAlignment="1">
      <alignment horizontal="center" vertical="center"/>
    </xf>
    <xf numFmtId="0" fontId="5" fillId="4" borderId="33" xfId="0" applyFont="1" applyFill="1" applyBorder="1" applyAlignment="1">
      <alignment horizontal="center" vertical="center"/>
    </xf>
    <xf numFmtId="0" fontId="5" fillId="4" borderId="38" xfId="0" applyFont="1" applyFill="1" applyBorder="1" applyAlignment="1">
      <alignment horizontal="center" vertical="center"/>
    </xf>
    <xf numFmtId="14" fontId="4" fillId="0" borderId="9" xfId="0" applyNumberFormat="1" applyFont="1" applyBorder="1" applyAlignment="1">
      <alignment horizontal="center" vertical="center"/>
    </xf>
    <xf numFmtId="14" fontId="4" fillId="0" borderId="12" xfId="0" applyNumberFormat="1" applyFont="1" applyBorder="1" applyAlignment="1">
      <alignment horizontal="center" vertical="center"/>
    </xf>
    <xf numFmtId="14" fontId="4" fillId="0" borderId="9" xfId="0" applyNumberFormat="1" applyFont="1" applyBorder="1" applyAlignment="1">
      <alignment horizontal="center" vertical="center" wrapText="1"/>
    </xf>
    <xf numFmtId="14" fontId="4" fillId="0" borderId="4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hilpa P" id="{D7CF4287-09E8-4442-B75F-2CCDBBDC8CCB}" userId="S::P.Shilpa@workforcejunction.com::99a5794e-6cd9-4545-8114-d8866699ea8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0" dT="2026-07-01T10:36:39.19" personId="{D7CF4287-09E8-4442-B75F-2CCDBBDC8CCB}" id="{4748FAC2-D28F-4A99-867D-9967E63F5ED9}">
    <text>Client went live only with NAMCO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BAD3E-E6E1-4897-838C-38218F222EB6}">
  <sheetPr codeName="Sheet2"/>
  <dimension ref="A1:N30"/>
  <sheetViews>
    <sheetView tabSelected="1" workbookViewId="0">
      <pane ySplit="2" topLeftCell="A3" activePane="bottomLeft" state="frozen"/>
      <selection pane="bottomLeft" activeCell="A2" sqref="A2"/>
    </sheetView>
  </sheetViews>
  <sheetFormatPr defaultRowHeight="15" customHeight="1" x14ac:dyDescent="0.3"/>
  <cols>
    <col min="1" max="1" width="6" style="1" bestFit="1" customWidth="1"/>
    <col min="2" max="2" width="41.5546875" style="1" customWidth="1"/>
    <col min="3" max="3" width="21" style="1" customWidth="1"/>
    <col min="4" max="5" width="14.88671875" style="1" customWidth="1"/>
    <col min="6" max="6" width="14" style="1" customWidth="1"/>
    <col min="7" max="7" width="15.109375" style="1" customWidth="1"/>
    <col min="8" max="8" width="1.33203125" style="1" customWidth="1"/>
    <col min="9" max="9" width="5.5546875" style="1" bestFit="1" customWidth="1"/>
    <col min="10" max="10" width="24.33203125" style="1" bestFit="1" customWidth="1"/>
    <col min="11" max="11" width="24.6640625" style="1" customWidth="1"/>
    <col min="12" max="12" width="22.88671875" style="1" bestFit="1" customWidth="1"/>
    <col min="13" max="13" width="12.33203125" style="1" bestFit="1" customWidth="1"/>
    <col min="14" max="14" width="41.6640625" style="1" bestFit="1" customWidth="1"/>
  </cols>
  <sheetData>
    <row r="1" spans="1:14" ht="14.4" x14ac:dyDescent="0.3">
      <c r="A1" s="171" t="s">
        <v>10</v>
      </c>
      <c r="B1" s="172"/>
      <c r="C1" s="172"/>
      <c r="D1" s="172"/>
      <c r="E1" s="172"/>
      <c r="F1" s="172"/>
      <c r="G1" s="172"/>
      <c r="H1" s="82"/>
      <c r="I1" s="173" t="s">
        <v>11</v>
      </c>
      <c r="J1" s="173"/>
      <c r="K1" s="173"/>
      <c r="L1" s="173"/>
      <c r="M1" s="174"/>
    </row>
    <row r="2" spans="1:14" ht="55.2" x14ac:dyDescent="0.3">
      <c r="A2" s="83" t="s">
        <v>12</v>
      </c>
      <c r="B2" s="84" t="s">
        <v>0</v>
      </c>
      <c r="C2" s="84" t="s">
        <v>13</v>
      </c>
      <c r="D2" s="85" t="s">
        <v>14</v>
      </c>
      <c r="E2" s="85" t="s">
        <v>15</v>
      </c>
      <c r="F2" s="85" t="s">
        <v>16</v>
      </c>
      <c r="G2" s="86" t="s">
        <v>17</v>
      </c>
      <c r="H2" s="87"/>
      <c r="I2" s="88" t="s">
        <v>18</v>
      </c>
      <c r="J2" s="89" t="s">
        <v>19</v>
      </c>
      <c r="K2" s="89" t="s">
        <v>13</v>
      </c>
      <c r="L2" s="89" t="s">
        <v>20</v>
      </c>
      <c r="M2" s="90" t="s">
        <v>21</v>
      </c>
      <c r="N2" s="91" t="s">
        <v>22</v>
      </c>
    </row>
    <row r="3" spans="1:14" ht="14.4" x14ac:dyDescent="0.3">
      <c r="A3" s="92">
        <v>1</v>
      </c>
      <c r="B3" s="93" t="s">
        <v>23</v>
      </c>
      <c r="C3" s="94" t="s">
        <v>24</v>
      </c>
      <c r="D3" s="95">
        <v>46001</v>
      </c>
      <c r="E3" s="95">
        <v>46050</v>
      </c>
      <c r="F3" s="95">
        <v>46118</v>
      </c>
      <c r="G3" s="96">
        <v>40</v>
      </c>
      <c r="H3" s="97"/>
      <c r="I3" s="98">
        <v>1</v>
      </c>
      <c r="J3" s="99" t="s">
        <v>1</v>
      </c>
      <c r="K3" s="95" t="s">
        <v>25</v>
      </c>
      <c r="L3" s="100">
        <v>46053</v>
      </c>
      <c r="M3" s="101">
        <v>298</v>
      </c>
      <c r="N3" s="149" t="s">
        <v>26</v>
      </c>
    </row>
    <row r="4" spans="1:14" ht="14.4" x14ac:dyDescent="0.3">
      <c r="A4" s="102">
        <v>2</v>
      </c>
      <c r="B4" s="103" t="s">
        <v>27</v>
      </c>
      <c r="C4" s="94" t="s">
        <v>24</v>
      </c>
      <c r="D4" s="95">
        <v>46059</v>
      </c>
      <c r="E4" s="95">
        <v>46076</v>
      </c>
      <c r="F4" s="95">
        <v>46108</v>
      </c>
      <c r="G4" s="96">
        <v>11</v>
      </c>
      <c r="H4" s="97"/>
      <c r="I4" s="98">
        <v>2</v>
      </c>
      <c r="J4" s="99" t="s">
        <v>28</v>
      </c>
      <c r="K4" s="95" t="s">
        <v>29</v>
      </c>
      <c r="L4" s="100">
        <v>46053</v>
      </c>
      <c r="M4" s="161">
        <v>54</v>
      </c>
      <c r="N4" s="157"/>
    </row>
    <row r="5" spans="1:14" ht="14.4" x14ac:dyDescent="0.3">
      <c r="A5" s="92">
        <v>3</v>
      </c>
      <c r="B5" s="103" t="s">
        <v>30</v>
      </c>
      <c r="C5" s="94" t="s">
        <v>24</v>
      </c>
      <c r="D5" s="95">
        <v>46091</v>
      </c>
      <c r="E5" s="95">
        <v>46175</v>
      </c>
      <c r="F5" s="95"/>
      <c r="G5" s="96">
        <v>500</v>
      </c>
      <c r="H5" s="97"/>
      <c r="I5" s="98">
        <v>3</v>
      </c>
      <c r="J5" s="99" t="s">
        <v>31</v>
      </c>
      <c r="K5" s="95" t="s">
        <v>24</v>
      </c>
      <c r="L5" s="100">
        <v>46113</v>
      </c>
      <c r="M5" s="92">
        <v>90</v>
      </c>
      <c r="N5" s="157" t="s">
        <v>32</v>
      </c>
    </row>
    <row r="6" spans="1:14" ht="14.4" x14ac:dyDescent="0.3">
      <c r="A6" s="102">
        <v>4</v>
      </c>
      <c r="B6" s="93" t="s">
        <v>33</v>
      </c>
      <c r="C6" s="94" t="s">
        <v>24</v>
      </c>
      <c r="D6" s="105">
        <v>46080</v>
      </c>
      <c r="E6" s="95">
        <v>46171</v>
      </c>
      <c r="F6" s="95">
        <v>46199</v>
      </c>
      <c r="G6" s="96">
        <v>67</v>
      </c>
      <c r="H6" s="97"/>
      <c r="I6" s="98">
        <v>4</v>
      </c>
      <c r="J6" s="99" t="s">
        <v>34</v>
      </c>
      <c r="K6" s="95" t="s">
        <v>24</v>
      </c>
      <c r="L6" s="100">
        <v>46113</v>
      </c>
      <c r="M6" s="102">
        <v>19</v>
      </c>
      <c r="N6" s="157" t="s">
        <v>35</v>
      </c>
    </row>
    <row r="7" spans="1:14" ht="14.4" x14ac:dyDescent="0.3">
      <c r="A7" s="92">
        <v>5</v>
      </c>
      <c r="B7" s="93" t="s">
        <v>36</v>
      </c>
      <c r="C7" s="94" t="s">
        <v>24</v>
      </c>
      <c r="D7" s="105">
        <v>46170</v>
      </c>
      <c r="E7" s="95">
        <v>46195</v>
      </c>
      <c r="F7" s="95">
        <v>46196</v>
      </c>
      <c r="G7" s="96">
        <v>8</v>
      </c>
      <c r="H7" s="97"/>
      <c r="I7" s="98">
        <v>5</v>
      </c>
      <c r="J7" s="99" t="s">
        <v>5</v>
      </c>
      <c r="K7" s="95" t="s">
        <v>37</v>
      </c>
      <c r="L7" s="100">
        <v>46113</v>
      </c>
      <c r="M7" s="92">
        <v>1603</v>
      </c>
      <c r="N7" s="157"/>
    </row>
    <row r="8" spans="1:14" ht="14.4" x14ac:dyDescent="0.3">
      <c r="A8" s="102">
        <v>6</v>
      </c>
      <c r="B8" s="93" t="s">
        <v>38</v>
      </c>
      <c r="C8" s="94" t="s">
        <v>24</v>
      </c>
      <c r="D8" s="95">
        <v>45856</v>
      </c>
      <c r="E8" s="95">
        <v>46001</v>
      </c>
      <c r="F8" s="95">
        <v>46118</v>
      </c>
      <c r="G8" s="96">
        <v>262</v>
      </c>
      <c r="H8" s="97"/>
      <c r="I8" s="98">
        <v>6</v>
      </c>
      <c r="J8" s="99" t="s">
        <v>39</v>
      </c>
      <c r="K8" s="95" t="s">
        <v>24</v>
      </c>
      <c r="L8" s="100">
        <v>46177</v>
      </c>
      <c r="M8" s="92">
        <v>223</v>
      </c>
      <c r="N8" s="157"/>
    </row>
    <row r="9" spans="1:14" ht="14.4" x14ac:dyDescent="0.3">
      <c r="A9" s="92">
        <v>7</v>
      </c>
      <c r="B9" s="93" t="s">
        <v>40</v>
      </c>
      <c r="C9" s="94" t="s">
        <v>24</v>
      </c>
      <c r="D9" s="95">
        <v>45912</v>
      </c>
      <c r="E9" s="95">
        <v>45957</v>
      </c>
      <c r="F9" s="95">
        <v>46023</v>
      </c>
      <c r="G9" s="96">
        <v>283</v>
      </c>
      <c r="H9" s="97"/>
      <c r="I9" s="98">
        <v>7</v>
      </c>
      <c r="J9" s="106" t="s">
        <v>41</v>
      </c>
      <c r="K9" s="95" t="s">
        <v>24</v>
      </c>
      <c r="L9" s="100">
        <v>46199</v>
      </c>
      <c r="M9" s="92">
        <v>145</v>
      </c>
      <c r="N9" s="158" t="s">
        <v>42</v>
      </c>
    </row>
    <row r="10" spans="1:14" ht="14.4" x14ac:dyDescent="0.3">
      <c r="A10" s="102">
        <v>8</v>
      </c>
      <c r="B10" s="93" t="s">
        <v>43</v>
      </c>
      <c r="C10" s="94" t="s">
        <v>24</v>
      </c>
      <c r="D10" s="105">
        <v>45917</v>
      </c>
      <c r="E10" s="95">
        <v>45979</v>
      </c>
      <c r="F10" s="95">
        <v>46023</v>
      </c>
      <c r="G10" s="96">
        <v>177</v>
      </c>
      <c r="H10" s="97"/>
      <c r="I10" s="107">
        <v>8</v>
      </c>
      <c r="J10" s="108" t="s">
        <v>44</v>
      </c>
      <c r="K10" s="95" t="s">
        <v>24</v>
      </c>
      <c r="L10" s="109">
        <v>46210</v>
      </c>
      <c r="M10" s="107">
        <v>295</v>
      </c>
      <c r="N10" s="159" t="s">
        <v>45</v>
      </c>
    </row>
    <row r="11" spans="1:14" ht="14.4" x14ac:dyDescent="0.3">
      <c r="A11" s="92">
        <v>9</v>
      </c>
      <c r="B11" s="93" t="s">
        <v>46</v>
      </c>
      <c r="C11" s="94" t="s">
        <v>24</v>
      </c>
      <c r="D11" s="105">
        <v>45798</v>
      </c>
      <c r="E11" s="95">
        <v>45994</v>
      </c>
      <c r="F11" s="95">
        <v>46023</v>
      </c>
      <c r="G11" s="96">
        <v>100</v>
      </c>
      <c r="H11" s="97"/>
      <c r="I11" s="144">
        <v>9</v>
      </c>
      <c r="J11" s="93" t="s">
        <v>6</v>
      </c>
      <c r="K11" s="144" t="s">
        <v>47</v>
      </c>
      <c r="L11" s="109">
        <v>46234</v>
      </c>
      <c r="M11" s="107">
        <v>102</v>
      </c>
      <c r="N11" s="160" t="s">
        <v>48</v>
      </c>
    </row>
    <row r="12" spans="1:14" ht="14.4" x14ac:dyDescent="0.3">
      <c r="A12" s="92">
        <v>10</v>
      </c>
      <c r="B12" s="93" t="s">
        <v>49</v>
      </c>
      <c r="C12" s="94" t="s">
        <v>24</v>
      </c>
      <c r="D12" s="105">
        <v>46134</v>
      </c>
      <c r="E12" s="95">
        <v>46184</v>
      </c>
      <c r="F12" s="95">
        <v>46210</v>
      </c>
      <c r="G12" s="96">
        <v>96</v>
      </c>
      <c r="H12" s="97"/>
      <c r="I12" s="144">
        <v>10</v>
      </c>
      <c r="J12" s="145" t="s">
        <v>50</v>
      </c>
      <c r="K12" s="144" t="s">
        <v>51</v>
      </c>
      <c r="L12" s="109">
        <v>46234</v>
      </c>
      <c r="M12" s="107">
        <v>369</v>
      </c>
      <c r="N12" s="160" t="s">
        <v>52</v>
      </c>
    </row>
    <row r="13" spans="1:14" ht="14.4" x14ac:dyDescent="0.3">
      <c r="A13" s="92"/>
      <c r="B13" s="93"/>
      <c r="C13" s="94"/>
      <c r="D13" s="105"/>
      <c r="E13" s="95"/>
      <c r="F13" s="95"/>
      <c r="G13" s="95"/>
      <c r="H13" s="112"/>
      <c r="I13" s="110"/>
      <c r="J13" s="110"/>
      <c r="K13" s="110"/>
      <c r="L13" s="110"/>
      <c r="M13" s="111"/>
      <c r="N13" s="155"/>
    </row>
    <row r="14" spans="1:14" s="13" customFormat="1" ht="14.4" x14ac:dyDescent="0.3">
      <c r="A14" s="92"/>
      <c r="B14" s="113" t="s">
        <v>53</v>
      </c>
      <c r="C14" s="94"/>
      <c r="D14" s="105"/>
      <c r="E14" s="95"/>
      <c r="F14" s="95"/>
      <c r="G14" s="95"/>
      <c r="H14" s="114"/>
      <c r="I14" s="110"/>
      <c r="J14" s="110"/>
      <c r="K14" s="110"/>
      <c r="L14" s="110"/>
      <c r="M14" s="111"/>
      <c r="N14" s="116"/>
    </row>
    <row r="15" spans="1:14" ht="14.4" x14ac:dyDescent="0.3">
      <c r="A15" s="92">
        <v>11</v>
      </c>
      <c r="B15" s="93" t="s">
        <v>54</v>
      </c>
      <c r="C15" s="94" t="s">
        <v>24</v>
      </c>
      <c r="D15" s="105">
        <v>46028</v>
      </c>
      <c r="E15" s="95"/>
      <c r="F15" s="95"/>
      <c r="G15" s="96"/>
      <c r="H15" s="97"/>
      <c r="I15" s="110"/>
      <c r="J15" s="110"/>
      <c r="K15" s="110"/>
      <c r="L15" s="110"/>
      <c r="M15" s="111"/>
      <c r="N15" s="155"/>
    </row>
    <row r="16" spans="1:14" ht="14.4" x14ac:dyDescent="0.3">
      <c r="A16" s="92">
        <v>12</v>
      </c>
      <c r="B16" s="103" t="s">
        <v>55</v>
      </c>
      <c r="C16" s="94" t="s">
        <v>24</v>
      </c>
      <c r="D16" s="105">
        <v>46071</v>
      </c>
      <c r="E16" s="95">
        <v>46108</v>
      </c>
      <c r="F16" s="95"/>
      <c r="G16" s="96">
        <v>127</v>
      </c>
      <c r="H16" s="97"/>
      <c r="I16" s="110"/>
      <c r="J16" s="110"/>
      <c r="K16" s="110"/>
      <c r="L16" s="110"/>
      <c r="M16" s="111"/>
      <c r="N16" s="155"/>
    </row>
    <row r="17" spans="1:14" ht="14.4" x14ac:dyDescent="0.3">
      <c r="A17" s="102">
        <v>13</v>
      </c>
      <c r="B17" s="103" t="s">
        <v>56</v>
      </c>
      <c r="C17" s="94" t="s">
        <v>24</v>
      </c>
      <c r="D17" s="95">
        <v>46071</v>
      </c>
      <c r="E17" s="95">
        <v>46175</v>
      </c>
      <c r="F17" s="95"/>
      <c r="G17" s="96">
        <v>51</v>
      </c>
      <c r="H17" s="97"/>
      <c r="I17" s="110"/>
      <c r="J17" s="110"/>
      <c r="K17" s="110"/>
      <c r="L17" s="110"/>
      <c r="M17" s="111"/>
      <c r="N17" s="155"/>
    </row>
    <row r="18" spans="1:14" ht="14.4" x14ac:dyDescent="0.3">
      <c r="A18" s="92">
        <v>14</v>
      </c>
      <c r="B18" s="115" t="s">
        <v>57</v>
      </c>
      <c r="C18" s="94" t="s">
        <v>24</v>
      </c>
      <c r="D18" s="95">
        <v>46093</v>
      </c>
      <c r="E18" s="95"/>
      <c r="F18" s="95"/>
      <c r="G18" s="96"/>
      <c r="H18" s="97"/>
      <c r="I18" s="110"/>
      <c r="J18" s="110"/>
      <c r="K18" s="110"/>
      <c r="L18" s="110"/>
      <c r="M18" s="111"/>
      <c r="N18" s="155"/>
    </row>
    <row r="19" spans="1:14" ht="14.4" x14ac:dyDescent="0.3">
      <c r="A19" s="102">
        <v>15</v>
      </c>
      <c r="B19" s="103" t="s">
        <v>58</v>
      </c>
      <c r="C19" s="94" t="s">
        <v>24</v>
      </c>
      <c r="D19" s="95">
        <v>46128</v>
      </c>
      <c r="E19" s="95"/>
      <c r="F19" s="95"/>
      <c r="G19" s="96">
        <v>199</v>
      </c>
      <c r="H19" s="97"/>
      <c r="I19" s="110"/>
      <c r="J19" s="110"/>
      <c r="K19" s="110"/>
      <c r="L19" s="110"/>
      <c r="M19" s="111"/>
      <c r="N19" s="155"/>
    </row>
    <row r="20" spans="1:14" ht="14.4" x14ac:dyDescent="0.3">
      <c r="A20" s="92">
        <v>16</v>
      </c>
      <c r="B20" s="93" t="s">
        <v>59</v>
      </c>
      <c r="C20" s="94" t="s">
        <v>24</v>
      </c>
      <c r="D20" s="95">
        <v>46091</v>
      </c>
      <c r="E20" s="95"/>
      <c r="F20" s="95"/>
      <c r="G20" s="96">
        <v>54</v>
      </c>
      <c r="H20" s="97"/>
      <c r="I20" s="110"/>
      <c r="J20" s="110"/>
      <c r="K20" s="110"/>
      <c r="L20" s="110"/>
      <c r="M20" s="111"/>
      <c r="N20" s="155"/>
    </row>
    <row r="21" spans="1:14" ht="14.4" x14ac:dyDescent="0.3">
      <c r="A21" s="102">
        <v>17</v>
      </c>
      <c r="B21" s="93" t="s">
        <v>60</v>
      </c>
      <c r="C21" s="94" t="s">
        <v>24</v>
      </c>
      <c r="D21" s="105">
        <v>46135</v>
      </c>
      <c r="E21" s="95"/>
      <c r="F21" s="95"/>
      <c r="G21" s="96"/>
      <c r="H21" s="97"/>
      <c r="I21" s="110"/>
      <c r="J21" s="110"/>
      <c r="K21" s="110"/>
      <c r="L21" s="110"/>
      <c r="M21" s="111"/>
      <c r="N21" s="155"/>
    </row>
    <row r="22" spans="1:14" ht="14.4" x14ac:dyDescent="0.3">
      <c r="A22" s="92">
        <v>18</v>
      </c>
      <c r="B22" s="93" t="s">
        <v>61</v>
      </c>
      <c r="C22" s="94" t="s">
        <v>24</v>
      </c>
      <c r="D22" s="105">
        <v>46135</v>
      </c>
      <c r="E22" s="95">
        <v>46149</v>
      </c>
      <c r="F22" s="95"/>
      <c r="G22" s="96">
        <v>221</v>
      </c>
      <c r="H22" s="97"/>
      <c r="I22" s="110"/>
      <c r="J22" s="110"/>
      <c r="K22" s="110"/>
      <c r="L22" s="110"/>
      <c r="M22" s="111"/>
      <c r="N22" s="155"/>
    </row>
    <row r="23" spans="1:14" ht="14.4" x14ac:dyDescent="0.3">
      <c r="A23" s="102">
        <v>19</v>
      </c>
      <c r="B23" s="93" t="s">
        <v>62</v>
      </c>
      <c r="C23" s="94" t="s">
        <v>24</v>
      </c>
      <c r="D23" s="105">
        <v>46132</v>
      </c>
      <c r="E23" s="95"/>
      <c r="F23" s="95"/>
      <c r="G23" s="96">
        <v>134</v>
      </c>
      <c r="H23" s="97"/>
      <c r="I23" s="110"/>
      <c r="J23" s="110"/>
      <c r="K23" s="110"/>
      <c r="L23" s="110"/>
      <c r="M23" s="111"/>
      <c r="N23" s="155"/>
    </row>
    <row r="24" spans="1:14" ht="14.4" x14ac:dyDescent="0.3">
      <c r="A24" s="102">
        <v>20</v>
      </c>
      <c r="B24" s="93" t="s">
        <v>63</v>
      </c>
      <c r="C24" s="94" t="s">
        <v>24</v>
      </c>
      <c r="D24" s="105">
        <v>46178</v>
      </c>
      <c r="E24" s="95"/>
      <c r="F24" s="95"/>
      <c r="G24" s="96"/>
      <c r="H24" s="97"/>
      <c r="I24" s="110"/>
      <c r="J24" s="110"/>
      <c r="K24" s="110"/>
      <c r="L24" s="110"/>
      <c r="M24" s="111"/>
      <c r="N24" s="155"/>
    </row>
    <row r="25" spans="1:14" ht="14.4" x14ac:dyDescent="0.3">
      <c r="A25" s="92">
        <v>21</v>
      </c>
      <c r="B25" s="93" t="s">
        <v>64</v>
      </c>
      <c r="C25" s="94" t="s">
        <v>24</v>
      </c>
      <c r="D25" s="105">
        <v>46238</v>
      </c>
      <c r="E25" s="95"/>
      <c r="F25" s="95"/>
      <c r="G25" s="96">
        <v>153</v>
      </c>
      <c r="H25" s="97"/>
      <c r="I25" s="110"/>
      <c r="J25" s="110"/>
      <c r="K25" s="110"/>
      <c r="L25" s="110"/>
      <c r="M25" s="111"/>
      <c r="N25" s="155"/>
    </row>
    <row r="26" spans="1:14" ht="14.4" x14ac:dyDescent="0.3">
      <c r="A26" s="147">
        <v>22</v>
      </c>
      <c r="B26" s="93" t="s">
        <v>65</v>
      </c>
      <c r="C26" s="94" t="s">
        <v>24</v>
      </c>
      <c r="D26" s="105">
        <v>45805</v>
      </c>
      <c r="E26" s="150"/>
      <c r="F26" s="95"/>
      <c r="G26" s="96">
        <v>250</v>
      </c>
      <c r="H26" s="97"/>
      <c r="I26" s="110"/>
      <c r="J26" s="110"/>
      <c r="K26" s="110"/>
      <c r="L26" s="110"/>
      <c r="M26" s="111"/>
      <c r="N26" s="155"/>
    </row>
    <row r="27" spans="1:14" ht="14.4" x14ac:dyDescent="0.3">
      <c r="A27" s="148">
        <v>23</v>
      </c>
      <c r="B27" s="146" t="s">
        <v>66</v>
      </c>
      <c r="C27" s="94" t="s">
        <v>24</v>
      </c>
      <c r="D27" s="119">
        <v>45975</v>
      </c>
      <c r="E27" s="149"/>
      <c r="F27" s="150"/>
      <c r="G27" s="151"/>
      <c r="H27" s="97"/>
      <c r="I27" s="110"/>
      <c r="J27" s="110"/>
      <c r="K27" s="110"/>
      <c r="L27" s="120"/>
      <c r="M27" s="111"/>
      <c r="N27" s="156"/>
    </row>
    <row r="28" spans="1:14" ht="14.4" x14ac:dyDescent="0.3">
      <c r="A28" s="104">
        <v>24</v>
      </c>
      <c r="B28" s="170" t="s">
        <v>67</v>
      </c>
      <c r="C28" s="94" t="s">
        <v>24</v>
      </c>
      <c r="D28" s="168">
        <v>46235</v>
      </c>
      <c r="E28" s="162"/>
      <c r="F28" s="165"/>
      <c r="G28" s="104">
        <v>132</v>
      </c>
      <c r="H28" s="97"/>
      <c r="I28" s="110"/>
      <c r="J28" s="110"/>
      <c r="K28" s="110"/>
      <c r="L28" s="120"/>
      <c r="M28" s="111"/>
      <c r="N28" s="152"/>
    </row>
    <row r="29" spans="1:14" ht="14.4" x14ac:dyDescent="0.3">
      <c r="A29" s="107">
        <v>25</v>
      </c>
      <c r="B29" s="108" t="s">
        <v>68</v>
      </c>
      <c r="C29" s="169" t="s">
        <v>24</v>
      </c>
      <c r="D29" s="163">
        <v>46240</v>
      </c>
      <c r="E29" s="149"/>
      <c r="F29" s="164"/>
      <c r="G29" s="167"/>
      <c r="H29" s="97"/>
      <c r="I29" s="110"/>
      <c r="J29" s="110"/>
      <c r="K29" s="110"/>
      <c r="L29" s="120"/>
      <c r="M29" s="111"/>
      <c r="N29" s="155"/>
    </row>
    <row r="30" spans="1:14" ht="14.4" x14ac:dyDescent="0.3">
      <c r="A30" s="52"/>
      <c r="B30" s="116"/>
      <c r="C30" s="166"/>
      <c r="D30" s="175" t="s">
        <v>69</v>
      </c>
      <c r="E30" s="176"/>
      <c r="F30" s="177"/>
      <c r="G30" s="117">
        <f>SUM(G3:G25)</f>
        <v>2483</v>
      </c>
      <c r="H30" s="87"/>
      <c r="I30" s="110"/>
      <c r="J30" s="110"/>
      <c r="K30" s="110"/>
      <c r="L30" s="118" t="s">
        <v>69</v>
      </c>
      <c r="M30" s="154">
        <f>SUM(M3:M25)</f>
        <v>3198</v>
      </c>
      <c r="N30" s="153"/>
    </row>
  </sheetData>
  <mergeCells count="3">
    <mergeCell ref="A1:G1"/>
    <mergeCell ref="I1:M1"/>
    <mergeCell ref="D30:F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8C991-13A9-409D-90D3-BDB513B22038}">
  <sheetPr codeName="Sheet3"/>
  <dimension ref="A1:N24"/>
  <sheetViews>
    <sheetView topLeftCell="B1" workbookViewId="0">
      <pane ySplit="2" topLeftCell="A3" activePane="bottomLeft" state="frozen"/>
      <selection pane="bottomLeft" activeCell="D20" sqref="D20"/>
    </sheetView>
  </sheetViews>
  <sheetFormatPr defaultRowHeight="15" customHeight="1" x14ac:dyDescent="0.3"/>
  <cols>
    <col min="1" max="1" width="6" style="1" bestFit="1" customWidth="1"/>
    <col min="2" max="2" width="36.6640625" style="1" bestFit="1" customWidth="1"/>
    <col min="3" max="3" width="21" style="1" customWidth="1"/>
    <col min="4" max="5" width="14.88671875" style="1" customWidth="1"/>
    <col min="6" max="6" width="14" style="1" customWidth="1"/>
    <col min="7" max="7" width="9.6640625" style="1" customWidth="1"/>
    <col min="8" max="8" width="1.33203125" style="1" customWidth="1"/>
    <col min="9" max="9" width="5.5546875" style="1" bestFit="1" customWidth="1"/>
    <col min="10" max="10" width="24.33203125" style="1" bestFit="1" customWidth="1"/>
    <col min="11" max="11" width="24.6640625" style="1" customWidth="1"/>
    <col min="12" max="12" width="22.88671875" style="1" bestFit="1" customWidth="1"/>
    <col min="13" max="13" width="12.33203125" style="1" bestFit="1" customWidth="1"/>
    <col min="14" max="14" width="41.6640625" style="1" bestFit="1" customWidth="1"/>
  </cols>
  <sheetData>
    <row r="1" spans="1:14" thickBot="1" x14ac:dyDescent="0.35">
      <c r="A1" s="171" t="s">
        <v>10</v>
      </c>
      <c r="B1" s="172"/>
      <c r="C1" s="172"/>
      <c r="D1" s="172"/>
      <c r="E1" s="172"/>
      <c r="F1" s="172"/>
      <c r="G1" s="172"/>
      <c r="H1" s="15"/>
      <c r="I1" s="173" t="s">
        <v>11</v>
      </c>
      <c r="J1" s="173"/>
      <c r="K1" s="173"/>
      <c r="L1" s="173"/>
      <c r="M1" s="174"/>
    </row>
    <row r="2" spans="1:14" ht="24.6" thickBot="1" x14ac:dyDescent="0.35">
      <c r="A2" s="79" t="s">
        <v>12</v>
      </c>
      <c r="B2" s="25" t="s">
        <v>0</v>
      </c>
      <c r="C2" s="25" t="s">
        <v>13</v>
      </c>
      <c r="D2" s="26" t="s">
        <v>14</v>
      </c>
      <c r="E2" s="26" t="s">
        <v>15</v>
      </c>
      <c r="F2" s="26" t="s">
        <v>16</v>
      </c>
      <c r="G2" s="27" t="s">
        <v>17</v>
      </c>
      <c r="H2" s="43"/>
      <c r="I2" s="34" t="s">
        <v>18</v>
      </c>
      <c r="J2" s="35" t="s">
        <v>19</v>
      </c>
      <c r="K2" s="35" t="s">
        <v>13</v>
      </c>
      <c r="L2" s="35" t="s">
        <v>20</v>
      </c>
      <c r="M2" s="67" t="s">
        <v>21</v>
      </c>
      <c r="N2" s="25" t="s">
        <v>22</v>
      </c>
    </row>
    <row r="3" spans="1:14" thickBot="1" x14ac:dyDescent="0.35">
      <c r="A3" s="28">
        <v>1</v>
      </c>
      <c r="B3" s="72" t="s">
        <v>70</v>
      </c>
      <c r="C3" s="71" t="s">
        <v>24</v>
      </c>
      <c r="D3" s="5">
        <v>45586</v>
      </c>
      <c r="E3" s="5">
        <v>45686</v>
      </c>
      <c r="F3" s="5">
        <v>45686</v>
      </c>
      <c r="G3" s="6">
        <v>60</v>
      </c>
      <c r="H3" s="11"/>
      <c r="I3" s="37">
        <v>1</v>
      </c>
      <c r="J3" s="68" t="s">
        <v>71</v>
      </c>
      <c r="K3" s="5" t="s">
        <v>72</v>
      </c>
      <c r="L3" s="17">
        <v>45688</v>
      </c>
      <c r="M3" s="69">
        <v>441</v>
      </c>
      <c r="N3" s="5" t="s">
        <v>73</v>
      </c>
    </row>
    <row r="4" spans="1:14" thickBot="1" x14ac:dyDescent="0.35">
      <c r="A4" s="81">
        <v>2</v>
      </c>
      <c r="B4" s="73" t="s">
        <v>74</v>
      </c>
      <c r="C4" s="71" t="s">
        <v>24</v>
      </c>
      <c r="D4" s="5">
        <v>45685</v>
      </c>
      <c r="E4" s="5">
        <v>45728</v>
      </c>
      <c r="F4" s="5">
        <v>45728</v>
      </c>
      <c r="G4" s="6">
        <v>207</v>
      </c>
      <c r="H4" s="11"/>
      <c r="I4" s="37">
        <v>2</v>
      </c>
      <c r="J4" s="68" t="s">
        <v>75</v>
      </c>
      <c r="K4" s="5" t="s">
        <v>76</v>
      </c>
      <c r="L4" s="17">
        <v>45770</v>
      </c>
      <c r="M4" s="70">
        <v>460</v>
      </c>
      <c r="N4" s="5" t="s">
        <v>77</v>
      </c>
    </row>
    <row r="5" spans="1:14" thickBot="1" x14ac:dyDescent="0.35">
      <c r="A5" s="28">
        <v>3</v>
      </c>
      <c r="B5" s="73" t="s">
        <v>78</v>
      </c>
      <c r="C5" s="71" t="s">
        <v>24</v>
      </c>
      <c r="D5" s="5">
        <v>45702</v>
      </c>
      <c r="E5" s="5">
        <v>45954</v>
      </c>
      <c r="F5" s="5">
        <v>45954</v>
      </c>
      <c r="G5" s="6">
        <v>218</v>
      </c>
      <c r="H5" s="11"/>
      <c r="I5" s="37">
        <v>3</v>
      </c>
      <c r="J5" s="68" t="s">
        <v>79</v>
      </c>
      <c r="K5" s="5" t="s">
        <v>24</v>
      </c>
      <c r="L5" s="17">
        <v>45789</v>
      </c>
      <c r="M5" s="66">
        <v>12</v>
      </c>
      <c r="N5" s="5" t="s">
        <v>80</v>
      </c>
    </row>
    <row r="6" spans="1:14" thickBot="1" x14ac:dyDescent="0.35">
      <c r="A6" s="81">
        <v>4</v>
      </c>
      <c r="B6" s="73" t="s">
        <v>41</v>
      </c>
      <c r="C6" s="71" t="s">
        <v>24</v>
      </c>
      <c r="D6" s="5">
        <v>45711</v>
      </c>
      <c r="E6" s="5">
        <v>45954</v>
      </c>
      <c r="F6" s="5">
        <v>45954</v>
      </c>
      <c r="G6" s="6">
        <v>115</v>
      </c>
      <c r="H6" s="11"/>
      <c r="I6" s="37">
        <v>4</v>
      </c>
      <c r="J6" s="68" t="s">
        <v>81</v>
      </c>
      <c r="K6" s="5" t="s">
        <v>82</v>
      </c>
      <c r="L6" s="17">
        <v>45777</v>
      </c>
      <c r="M6" s="14">
        <v>55</v>
      </c>
      <c r="N6" s="5" t="s">
        <v>83</v>
      </c>
    </row>
    <row r="7" spans="1:14" thickBot="1" x14ac:dyDescent="0.35">
      <c r="A7" s="28">
        <v>5</v>
      </c>
      <c r="B7" s="72" t="s">
        <v>44</v>
      </c>
      <c r="C7" s="71" t="s">
        <v>24</v>
      </c>
      <c r="D7" s="5">
        <v>45711</v>
      </c>
      <c r="E7" s="5">
        <v>45887</v>
      </c>
      <c r="F7" s="5">
        <v>45887</v>
      </c>
      <c r="G7" s="6">
        <v>125</v>
      </c>
      <c r="H7" s="11"/>
      <c r="I7" s="37">
        <v>5</v>
      </c>
      <c r="J7" s="68" t="s">
        <v>84</v>
      </c>
      <c r="K7" s="5" t="s">
        <v>24</v>
      </c>
      <c r="L7" s="17">
        <v>45877</v>
      </c>
      <c r="M7" s="3">
        <v>143</v>
      </c>
      <c r="N7" s="5" t="s">
        <v>85</v>
      </c>
    </row>
    <row r="8" spans="1:14" thickBot="1" x14ac:dyDescent="0.35">
      <c r="A8" s="81">
        <v>6</v>
      </c>
      <c r="B8" s="73" t="s">
        <v>86</v>
      </c>
      <c r="C8" s="71" t="s">
        <v>24</v>
      </c>
      <c r="D8" s="5">
        <v>45711</v>
      </c>
      <c r="E8" s="5">
        <v>45944</v>
      </c>
      <c r="F8" s="5">
        <v>45944</v>
      </c>
      <c r="G8" s="6">
        <v>310</v>
      </c>
      <c r="H8" s="11"/>
      <c r="I8" s="37">
        <v>6</v>
      </c>
      <c r="J8" s="68" t="s">
        <v>74</v>
      </c>
      <c r="K8" s="5" t="s">
        <v>24</v>
      </c>
      <c r="L8" s="17">
        <v>45890</v>
      </c>
      <c r="M8" s="3">
        <v>207</v>
      </c>
      <c r="N8" s="5"/>
    </row>
    <row r="9" spans="1:14" thickBot="1" x14ac:dyDescent="0.35">
      <c r="A9" s="28">
        <v>7</v>
      </c>
      <c r="B9" s="73" t="s">
        <v>87</v>
      </c>
      <c r="C9" s="71" t="s">
        <v>24</v>
      </c>
      <c r="D9" s="5">
        <v>45758</v>
      </c>
      <c r="E9" s="5">
        <v>45793</v>
      </c>
      <c r="F9" s="5">
        <v>45793</v>
      </c>
      <c r="G9" s="6">
        <v>118</v>
      </c>
      <c r="H9" s="11"/>
      <c r="I9" s="37">
        <v>7</v>
      </c>
      <c r="J9" s="4" t="s">
        <v>88</v>
      </c>
      <c r="K9" s="5" t="s">
        <v>72</v>
      </c>
      <c r="L9" s="17">
        <v>45900</v>
      </c>
      <c r="M9" s="3">
        <v>100</v>
      </c>
      <c r="N9" s="5"/>
    </row>
    <row r="10" spans="1:14" ht="14.4" x14ac:dyDescent="0.3">
      <c r="A10" s="81">
        <v>8</v>
      </c>
      <c r="B10" s="74" t="s">
        <v>89</v>
      </c>
      <c r="C10" s="71" t="s">
        <v>24</v>
      </c>
      <c r="D10" s="5">
        <v>45758</v>
      </c>
      <c r="E10" s="5">
        <v>45972</v>
      </c>
      <c r="F10" s="5">
        <v>45690</v>
      </c>
      <c r="G10" s="6">
        <v>149</v>
      </c>
      <c r="H10" s="11"/>
      <c r="I10" s="37">
        <v>8</v>
      </c>
      <c r="J10" s="4" t="s">
        <v>90</v>
      </c>
      <c r="K10" s="5" t="s">
        <v>72</v>
      </c>
      <c r="L10" s="17">
        <v>45900</v>
      </c>
      <c r="M10" s="23">
        <v>37</v>
      </c>
      <c r="N10" s="5"/>
    </row>
    <row r="11" spans="1:14" ht="14.4" x14ac:dyDescent="0.3">
      <c r="A11" s="81">
        <v>10</v>
      </c>
      <c r="B11" s="74" t="s">
        <v>31</v>
      </c>
      <c r="C11" s="71" t="s">
        <v>24</v>
      </c>
      <c r="D11" s="78">
        <v>45833</v>
      </c>
      <c r="E11" s="5">
        <v>45966</v>
      </c>
      <c r="F11" s="5">
        <v>45966</v>
      </c>
      <c r="G11" s="6">
        <v>90</v>
      </c>
      <c r="H11" s="11"/>
      <c r="I11" s="37">
        <v>9</v>
      </c>
      <c r="J11" s="4" t="s">
        <v>91</v>
      </c>
      <c r="K11" s="5" t="s">
        <v>24</v>
      </c>
      <c r="L11" s="17">
        <v>45911</v>
      </c>
      <c r="M11" s="31">
        <v>108</v>
      </c>
      <c r="N11" s="5" t="s">
        <v>85</v>
      </c>
    </row>
    <row r="12" spans="1:14" ht="14.4" x14ac:dyDescent="0.3">
      <c r="A12" s="28">
        <v>11</v>
      </c>
      <c r="B12" s="74" t="s">
        <v>92</v>
      </c>
      <c r="C12" s="71" t="s">
        <v>24</v>
      </c>
      <c r="D12" s="78">
        <v>45867</v>
      </c>
      <c r="E12" s="5">
        <v>45904</v>
      </c>
      <c r="F12" s="5">
        <v>45904</v>
      </c>
      <c r="G12" s="6">
        <v>86</v>
      </c>
      <c r="H12" s="11"/>
      <c r="I12" s="37">
        <v>10</v>
      </c>
      <c r="J12" s="4" t="s">
        <v>70</v>
      </c>
      <c r="K12" s="5" t="s">
        <v>24</v>
      </c>
      <c r="L12" s="17">
        <v>45982</v>
      </c>
      <c r="M12" s="75">
        <v>66</v>
      </c>
      <c r="N12" s="5" t="s">
        <v>93</v>
      </c>
    </row>
    <row r="13" spans="1:14" ht="14.4" x14ac:dyDescent="0.3">
      <c r="A13" s="81">
        <v>12</v>
      </c>
      <c r="B13" s="74" t="s">
        <v>34</v>
      </c>
      <c r="C13" s="71" t="s">
        <v>24</v>
      </c>
      <c r="D13" s="78">
        <v>45805</v>
      </c>
      <c r="E13" s="5">
        <v>45993</v>
      </c>
      <c r="F13" s="5">
        <v>45993</v>
      </c>
      <c r="G13" s="6">
        <v>18</v>
      </c>
      <c r="H13" s="11"/>
      <c r="I13" s="37">
        <v>11</v>
      </c>
      <c r="J13" s="4" t="s">
        <v>9</v>
      </c>
      <c r="K13" s="5" t="s">
        <v>94</v>
      </c>
      <c r="L13" s="17">
        <v>46022</v>
      </c>
      <c r="M13" s="75">
        <v>203</v>
      </c>
      <c r="N13" s="5" t="s">
        <v>95</v>
      </c>
    </row>
    <row r="14" spans="1:14" ht="14.4" x14ac:dyDescent="0.3">
      <c r="A14" s="28">
        <v>13</v>
      </c>
      <c r="B14" s="74" t="s">
        <v>96</v>
      </c>
      <c r="C14" s="71" t="s">
        <v>24</v>
      </c>
      <c r="D14" s="78">
        <v>45853</v>
      </c>
      <c r="E14" s="5">
        <v>45942</v>
      </c>
      <c r="F14" s="5">
        <v>45942</v>
      </c>
      <c r="G14" s="6">
        <v>130</v>
      </c>
      <c r="H14" s="11"/>
      <c r="I14" s="37">
        <v>12</v>
      </c>
      <c r="J14" s="4" t="s">
        <v>97</v>
      </c>
      <c r="K14" s="5" t="s">
        <v>72</v>
      </c>
      <c r="L14" s="17">
        <v>46022</v>
      </c>
      <c r="M14" s="75">
        <v>204</v>
      </c>
      <c r="N14" s="5" t="s">
        <v>98</v>
      </c>
    </row>
    <row r="15" spans="1:14" ht="14.4" x14ac:dyDescent="0.3">
      <c r="A15" s="81">
        <v>14</v>
      </c>
      <c r="B15" s="74" t="s">
        <v>99</v>
      </c>
      <c r="C15" s="71" t="s">
        <v>24</v>
      </c>
      <c r="D15" s="5">
        <v>45889</v>
      </c>
      <c r="E15" s="5">
        <v>45974</v>
      </c>
      <c r="F15" s="5">
        <v>45974</v>
      </c>
      <c r="G15" s="6">
        <v>95</v>
      </c>
      <c r="H15" s="11"/>
      <c r="I15" s="37">
        <v>13</v>
      </c>
      <c r="J15" s="4" t="s">
        <v>2</v>
      </c>
      <c r="K15" s="5" t="s">
        <v>25</v>
      </c>
      <c r="L15" s="17">
        <v>46022</v>
      </c>
      <c r="M15" s="75">
        <v>76</v>
      </c>
      <c r="N15" s="5" t="s">
        <v>100</v>
      </c>
    </row>
    <row r="16" spans="1:14" ht="14.4" x14ac:dyDescent="0.3">
      <c r="A16" s="28">
        <v>15</v>
      </c>
      <c r="B16" s="74" t="s">
        <v>39</v>
      </c>
      <c r="C16" s="71" t="s">
        <v>24</v>
      </c>
      <c r="D16" s="5">
        <v>45856</v>
      </c>
      <c r="E16" s="5">
        <v>45973</v>
      </c>
      <c r="F16" s="5">
        <v>45973</v>
      </c>
      <c r="G16" s="6">
        <v>203</v>
      </c>
      <c r="H16" s="11"/>
      <c r="I16" s="37"/>
      <c r="J16" s="4"/>
      <c r="K16" s="5"/>
      <c r="L16" s="17"/>
      <c r="M16" s="75"/>
      <c r="N16" s="5"/>
    </row>
    <row r="17" spans="1:14" ht="14.4" x14ac:dyDescent="0.3">
      <c r="A17" s="122">
        <v>16</v>
      </c>
      <c r="B17" s="125" t="s">
        <v>101</v>
      </c>
      <c r="C17" s="71" t="s">
        <v>24</v>
      </c>
      <c r="D17" s="5">
        <v>45856</v>
      </c>
      <c r="E17" s="5">
        <v>46002</v>
      </c>
      <c r="F17" s="5">
        <v>46007</v>
      </c>
      <c r="G17" s="6">
        <v>66</v>
      </c>
      <c r="H17" s="11"/>
      <c r="I17" s="62"/>
      <c r="J17" s="4"/>
      <c r="K17" s="5"/>
      <c r="L17" s="17"/>
      <c r="M17" s="60"/>
      <c r="N17" s="5"/>
    </row>
    <row r="18" spans="1:14" ht="14.4" x14ac:dyDescent="0.3">
      <c r="A18" s="139">
        <v>17</v>
      </c>
      <c r="B18" s="77" t="s">
        <v>102</v>
      </c>
      <c r="C18" s="55" t="s">
        <v>24</v>
      </c>
      <c r="D18" s="45">
        <v>45758</v>
      </c>
      <c r="E18" s="5">
        <v>45989</v>
      </c>
      <c r="F18" s="5">
        <v>45992</v>
      </c>
      <c r="G18" s="6">
        <v>22</v>
      </c>
      <c r="H18" s="11"/>
      <c r="I18" s="62"/>
      <c r="J18" s="4"/>
      <c r="K18" s="5"/>
      <c r="L18" s="17"/>
      <c r="M18" s="60"/>
      <c r="N18" s="45"/>
    </row>
    <row r="19" spans="1:14" ht="14.4" x14ac:dyDescent="0.3">
      <c r="A19" s="140">
        <v>18</v>
      </c>
      <c r="B19" s="80" t="s">
        <v>91</v>
      </c>
      <c r="C19" s="10" t="s">
        <v>24</v>
      </c>
      <c r="D19" s="24">
        <v>45711</v>
      </c>
      <c r="E19" s="5">
        <v>45820</v>
      </c>
      <c r="F19" s="5">
        <v>45820</v>
      </c>
      <c r="G19" s="130">
        <v>108</v>
      </c>
      <c r="H19" s="11"/>
      <c r="I19" s="62"/>
      <c r="J19" s="4"/>
      <c r="K19" s="5"/>
      <c r="L19" s="10"/>
      <c r="M19" s="31"/>
      <c r="N19" s="55"/>
    </row>
    <row r="20" spans="1:14" ht="14.4" x14ac:dyDescent="0.3">
      <c r="A20" s="141">
        <v>19</v>
      </c>
      <c r="B20" s="80" t="s">
        <v>84</v>
      </c>
      <c r="C20" s="142" t="s">
        <v>24</v>
      </c>
      <c r="D20" s="45">
        <v>45711</v>
      </c>
      <c r="E20" s="10">
        <v>45762</v>
      </c>
      <c r="F20" s="44">
        <v>45762</v>
      </c>
      <c r="G20" s="138">
        <v>143</v>
      </c>
      <c r="H20" s="131"/>
      <c r="I20" s="62"/>
      <c r="J20" s="4"/>
      <c r="K20" s="17"/>
      <c r="L20" s="71"/>
      <c r="M20" s="136"/>
      <c r="N20" s="5"/>
    </row>
    <row r="21" spans="1:14" ht="14.4" x14ac:dyDescent="0.3">
      <c r="A21" s="143"/>
      <c r="B21" s="121"/>
      <c r="C21" s="128"/>
      <c r="D21" s="44"/>
      <c r="E21" s="44"/>
      <c r="F21" s="44"/>
      <c r="G21" s="137"/>
      <c r="H21" s="11"/>
      <c r="I21" s="62"/>
      <c r="J21" s="46"/>
      <c r="K21" s="17"/>
      <c r="L21" s="71"/>
      <c r="M21" s="136"/>
      <c r="N21" s="5"/>
    </row>
    <row r="22" spans="1:14" ht="14.4" x14ac:dyDescent="0.3">
      <c r="A22" s="124"/>
      <c r="B22" s="121"/>
      <c r="C22" s="126"/>
      <c r="D22" s="30"/>
      <c r="E22" s="44"/>
      <c r="F22" s="30"/>
      <c r="G22" s="59"/>
      <c r="H22" s="132"/>
      <c r="I22" s="133"/>
      <c r="J22" s="135"/>
      <c r="K22" s="17"/>
      <c r="L22" s="24"/>
      <c r="M22" s="136"/>
      <c r="N22" s="5"/>
    </row>
    <row r="23" spans="1:14" ht="14.4" x14ac:dyDescent="0.3">
      <c r="A23" s="123"/>
      <c r="B23" s="121"/>
      <c r="C23" s="126"/>
      <c r="D23" s="126"/>
      <c r="E23" s="24"/>
      <c r="F23" s="58"/>
      <c r="G23" s="59"/>
      <c r="H23" s="11"/>
      <c r="I23" s="50"/>
      <c r="J23" s="77"/>
      <c r="K23" s="17"/>
      <c r="L23" s="129"/>
      <c r="M23" s="136"/>
      <c r="N23" s="5"/>
    </row>
    <row r="24" spans="1:14" ht="14.4" x14ac:dyDescent="0.3">
      <c r="A24" s="52"/>
      <c r="B24" s="80"/>
      <c r="C24" s="127"/>
      <c r="D24" s="178" t="s">
        <v>69</v>
      </c>
      <c r="E24" s="179"/>
      <c r="F24" s="180"/>
      <c r="G24" s="33">
        <f>SUM(G3:G20)</f>
        <v>2263</v>
      </c>
      <c r="H24" s="43"/>
      <c r="I24" s="134"/>
      <c r="J24" s="80"/>
      <c r="K24" s="17"/>
      <c r="L24" s="47" t="s">
        <v>69</v>
      </c>
      <c r="M24" s="76">
        <f>SUM(M3:M20)</f>
        <v>2112</v>
      </c>
      <c r="N24" s="5"/>
    </row>
  </sheetData>
  <mergeCells count="3">
    <mergeCell ref="A1:G1"/>
    <mergeCell ref="I1:M1"/>
    <mergeCell ref="D24:F24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7270E-B133-415C-8F95-666A46FCB498}">
  <sheetPr codeName="Sheet4"/>
  <dimension ref="A1:N18"/>
  <sheetViews>
    <sheetView workbookViewId="0">
      <pane ySplit="2" topLeftCell="A3" activePane="bottomLeft" state="frozen"/>
      <selection pane="bottomLeft" activeCell="C10" sqref="C10"/>
    </sheetView>
  </sheetViews>
  <sheetFormatPr defaultRowHeight="14.4" x14ac:dyDescent="0.3"/>
  <cols>
    <col min="1" max="1" width="6" style="1" bestFit="1" customWidth="1"/>
    <col min="2" max="2" width="22.44140625" style="1" bestFit="1" customWidth="1"/>
    <col min="3" max="3" width="14" style="1" bestFit="1" customWidth="1"/>
    <col min="4" max="4" width="12.33203125" style="1" bestFit="1" customWidth="1"/>
    <col min="5" max="5" width="14.109375" style="1" bestFit="1" customWidth="1"/>
    <col min="6" max="6" width="12.109375" style="1" bestFit="1" customWidth="1"/>
    <col min="7" max="7" width="9.44140625" style="1" bestFit="1" customWidth="1"/>
    <col min="8" max="8" width="1.33203125" style="1" customWidth="1"/>
    <col min="9" max="9" width="5.5546875" style="1" bestFit="1" customWidth="1"/>
    <col min="10" max="10" width="22.5546875" style="1" customWidth="1"/>
    <col min="11" max="11" width="24.6640625" style="1" customWidth="1"/>
    <col min="12" max="12" width="22.88671875" style="1" bestFit="1" customWidth="1"/>
    <col min="13" max="13" width="12.33203125" style="1" bestFit="1" customWidth="1"/>
    <col min="14" max="14" width="41.6640625" style="1" bestFit="1" customWidth="1"/>
  </cols>
  <sheetData>
    <row r="1" spans="1:14" x14ac:dyDescent="0.3">
      <c r="A1" s="171" t="s">
        <v>10</v>
      </c>
      <c r="B1" s="172"/>
      <c r="C1" s="172"/>
      <c r="D1" s="172"/>
      <c r="E1" s="172"/>
      <c r="F1" s="172"/>
      <c r="G1" s="172"/>
      <c r="H1" s="15"/>
      <c r="I1" s="173" t="s">
        <v>11</v>
      </c>
      <c r="J1" s="173"/>
      <c r="K1" s="173"/>
      <c r="L1" s="173"/>
      <c r="M1" s="174"/>
    </row>
    <row r="2" spans="1:14" ht="24.6" thickBot="1" x14ac:dyDescent="0.35">
      <c r="A2" s="7" t="s">
        <v>12</v>
      </c>
      <c r="B2" s="25" t="s">
        <v>0</v>
      </c>
      <c r="C2" s="25" t="s">
        <v>13</v>
      </c>
      <c r="D2" s="26" t="s">
        <v>14</v>
      </c>
      <c r="E2" s="26" t="s">
        <v>15</v>
      </c>
      <c r="F2" s="26" t="s">
        <v>16</v>
      </c>
      <c r="G2" s="27" t="s">
        <v>17</v>
      </c>
      <c r="H2" s="43"/>
      <c r="I2" s="34" t="s">
        <v>18</v>
      </c>
      <c r="J2" s="35" t="s">
        <v>19</v>
      </c>
      <c r="K2" s="35" t="s">
        <v>13</v>
      </c>
      <c r="L2" s="35" t="s">
        <v>20</v>
      </c>
      <c r="M2" s="36" t="s">
        <v>21</v>
      </c>
      <c r="N2" s="2" t="s">
        <v>22</v>
      </c>
    </row>
    <row r="3" spans="1:14" ht="15" thickBot="1" x14ac:dyDescent="0.35">
      <c r="A3" s="3">
        <v>1</v>
      </c>
      <c r="B3" s="16" t="s">
        <v>103</v>
      </c>
      <c r="C3" s="5" t="s">
        <v>104</v>
      </c>
      <c r="D3" s="5">
        <v>45324</v>
      </c>
      <c r="E3" s="5">
        <v>45336</v>
      </c>
      <c r="F3" s="5">
        <v>45336</v>
      </c>
      <c r="G3" s="8">
        <v>63</v>
      </c>
      <c r="H3" s="11"/>
      <c r="I3" s="37">
        <v>1</v>
      </c>
      <c r="J3" s="4" t="s">
        <v>7</v>
      </c>
      <c r="K3" s="5" t="s">
        <v>72</v>
      </c>
      <c r="L3" s="5">
        <v>45351</v>
      </c>
      <c r="M3" s="38">
        <v>572</v>
      </c>
      <c r="N3" s="183" t="s">
        <v>105</v>
      </c>
    </row>
    <row r="4" spans="1:14" ht="15" thickBot="1" x14ac:dyDescent="0.35">
      <c r="A4" s="3">
        <v>2</v>
      </c>
      <c r="B4" s="4" t="s">
        <v>106</v>
      </c>
      <c r="C4" s="5" t="s">
        <v>104</v>
      </c>
      <c r="D4" s="5">
        <v>45380</v>
      </c>
      <c r="E4" s="5">
        <v>45401</v>
      </c>
      <c r="F4" s="5">
        <v>45401</v>
      </c>
      <c r="G4" s="8">
        <v>83</v>
      </c>
      <c r="H4" s="43"/>
      <c r="I4" s="37">
        <v>2</v>
      </c>
      <c r="J4" s="4" t="s">
        <v>3</v>
      </c>
      <c r="K4" s="5" t="s">
        <v>107</v>
      </c>
      <c r="L4" s="5">
        <v>45351</v>
      </c>
      <c r="M4" s="38">
        <v>678</v>
      </c>
      <c r="N4" s="184"/>
    </row>
    <row r="5" spans="1:14" ht="15" thickBot="1" x14ac:dyDescent="0.35">
      <c r="A5" s="3">
        <v>3</v>
      </c>
      <c r="B5" s="4" t="s">
        <v>108</v>
      </c>
      <c r="C5" s="5" t="s">
        <v>24</v>
      </c>
      <c r="D5" s="5">
        <v>45527</v>
      </c>
      <c r="E5" s="5">
        <v>45570</v>
      </c>
      <c r="F5" s="5">
        <v>45570</v>
      </c>
      <c r="G5" s="8">
        <v>363</v>
      </c>
      <c r="H5" s="43"/>
      <c r="I5" s="37">
        <v>3</v>
      </c>
      <c r="J5" s="16" t="s">
        <v>109</v>
      </c>
      <c r="K5" s="5" t="s">
        <v>104</v>
      </c>
      <c r="L5" s="5">
        <v>45464</v>
      </c>
      <c r="M5" s="38">
        <v>57</v>
      </c>
      <c r="N5" s="181" t="s">
        <v>110</v>
      </c>
    </row>
    <row r="6" spans="1:14" ht="15" thickBot="1" x14ac:dyDescent="0.35">
      <c r="A6" s="23">
        <v>4</v>
      </c>
      <c r="B6" s="4" t="s">
        <v>111</v>
      </c>
      <c r="C6" s="5" t="s">
        <v>24</v>
      </c>
      <c r="D6" s="5">
        <v>45546</v>
      </c>
      <c r="E6" s="5">
        <v>45631</v>
      </c>
      <c r="F6" s="5">
        <v>45631</v>
      </c>
      <c r="G6" s="8">
        <v>87</v>
      </c>
      <c r="H6" s="43"/>
      <c r="I6" s="37">
        <v>4</v>
      </c>
      <c r="J6" s="12" t="s">
        <v>112</v>
      </c>
      <c r="K6" s="5" t="s">
        <v>104</v>
      </c>
      <c r="L6" s="5">
        <v>45464</v>
      </c>
      <c r="M6" s="38">
        <v>83</v>
      </c>
      <c r="N6" s="182"/>
    </row>
    <row r="7" spans="1:14" ht="15" thickBot="1" x14ac:dyDescent="0.35">
      <c r="A7" s="21">
        <v>5</v>
      </c>
      <c r="B7" s="46" t="s">
        <v>113</v>
      </c>
      <c r="C7" s="5" t="s">
        <v>72</v>
      </c>
      <c r="D7" s="5">
        <v>45589</v>
      </c>
      <c r="E7" s="5">
        <v>45632</v>
      </c>
      <c r="F7" s="5">
        <v>45632</v>
      </c>
      <c r="G7" s="8">
        <v>107</v>
      </c>
      <c r="H7" s="43"/>
      <c r="I7" s="37">
        <v>5</v>
      </c>
      <c r="J7" s="4" t="s">
        <v>114</v>
      </c>
      <c r="K7" s="5" t="s">
        <v>104</v>
      </c>
      <c r="L7" s="5">
        <v>45464</v>
      </c>
      <c r="M7" s="38">
        <v>52</v>
      </c>
      <c r="N7" s="182"/>
    </row>
    <row r="8" spans="1:14" ht="15" thickBot="1" x14ac:dyDescent="0.35">
      <c r="A8" s="50">
        <v>6</v>
      </c>
      <c r="B8" s="77" t="s">
        <v>115</v>
      </c>
      <c r="C8" s="5" t="s">
        <v>72</v>
      </c>
      <c r="D8" s="19">
        <v>45609</v>
      </c>
      <c r="E8" s="5">
        <v>45618</v>
      </c>
      <c r="F8" s="5">
        <v>45618</v>
      </c>
      <c r="G8" s="8">
        <v>67</v>
      </c>
      <c r="H8" s="43"/>
      <c r="I8" s="37">
        <v>6</v>
      </c>
      <c r="J8" s="4" t="s">
        <v>106</v>
      </c>
      <c r="K8" s="5" t="s">
        <v>104</v>
      </c>
      <c r="L8" s="5">
        <v>45464</v>
      </c>
      <c r="M8" s="38">
        <v>74</v>
      </c>
      <c r="N8" s="182"/>
    </row>
    <row r="9" spans="1:14" ht="15" thickBot="1" x14ac:dyDescent="0.35">
      <c r="A9" s="21">
        <v>7</v>
      </c>
      <c r="B9" s="46" t="s">
        <v>113</v>
      </c>
      <c r="C9" s="5" t="s">
        <v>72</v>
      </c>
      <c r="D9" s="5">
        <v>45589</v>
      </c>
      <c r="E9" s="5">
        <v>45632</v>
      </c>
      <c r="F9" s="5">
        <v>45632</v>
      </c>
      <c r="G9" s="8">
        <v>107</v>
      </c>
      <c r="H9" s="43"/>
      <c r="I9" s="37">
        <v>7</v>
      </c>
      <c r="J9" s="4" t="s">
        <v>103</v>
      </c>
      <c r="K9" s="5" t="s">
        <v>104</v>
      </c>
      <c r="L9" s="5">
        <v>45464</v>
      </c>
      <c r="M9" s="38">
        <v>48</v>
      </c>
      <c r="N9" s="182"/>
    </row>
    <row r="10" spans="1:14" ht="15" thickBot="1" x14ac:dyDescent="0.35">
      <c r="A10" s="50">
        <v>8</v>
      </c>
      <c r="B10" s="77" t="s">
        <v>115</v>
      </c>
      <c r="C10" s="5" t="s">
        <v>72</v>
      </c>
      <c r="D10" s="19">
        <v>45609</v>
      </c>
      <c r="E10" s="5">
        <v>45618</v>
      </c>
      <c r="F10" s="5">
        <v>45618</v>
      </c>
      <c r="G10" s="8">
        <v>67</v>
      </c>
      <c r="H10" s="43"/>
      <c r="I10" s="37">
        <v>8</v>
      </c>
      <c r="J10" s="4" t="s">
        <v>116</v>
      </c>
      <c r="K10" s="5" t="s">
        <v>104</v>
      </c>
      <c r="L10" s="5">
        <v>45464</v>
      </c>
      <c r="M10" s="38">
        <v>11</v>
      </c>
      <c r="N10" s="182"/>
    </row>
    <row r="11" spans="1:14" ht="15" thickBot="1" x14ac:dyDescent="0.35">
      <c r="A11" s="50"/>
      <c r="B11" s="77"/>
      <c r="C11" s="45"/>
      <c r="D11" s="19"/>
      <c r="E11" s="19"/>
      <c r="F11" s="19"/>
      <c r="G11" s="8"/>
      <c r="H11" s="43"/>
      <c r="I11" s="37">
        <v>9</v>
      </c>
      <c r="J11" s="4" t="s">
        <v>117</v>
      </c>
      <c r="K11" s="5" t="s">
        <v>104</v>
      </c>
      <c r="L11" s="5">
        <v>45464</v>
      </c>
      <c r="M11" s="39">
        <v>33</v>
      </c>
      <c r="N11" s="182"/>
    </row>
    <row r="12" spans="1:14" ht="15" thickBot="1" x14ac:dyDescent="0.35">
      <c r="A12" s="61"/>
      <c r="B12" s="63"/>
      <c r="C12" s="24"/>
      <c r="D12" s="20"/>
      <c r="E12" s="19"/>
      <c r="F12" s="6"/>
      <c r="G12" s="8"/>
      <c r="H12" s="43"/>
      <c r="I12" s="37">
        <v>10</v>
      </c>
      <c r="J12" s="4" t="s">
        <v>118</v>
      </c>
      <c r="K12" s="5" t="s">
        <v>104</v>
      </c>
      <c r="L12" s="17">
        <v>45464</v>
      </c>
      <c r="M12" s="31">
        <v>0</v>
      </c>
      <c r="N12" s="182"/>
    </row>
    <row r="13" spans="1:14" ht="15" thickBot="1" x14ac:dyDescent="0.35">
      <c r="A13" s="21"/>
      <c r="B13" s="63"/>
      <c r="C13" s="24"/>
      <c r="D13" s="20"/>
      <c r="E13" s="19"/>
      <c r="F13" s="19"/>
      <c r="G13" s="8"/>
      <c r="H13" s="43"/>
      <c r="I13" s="37">
        <v>11</v>
      </c>
      <c r="J13" s="46" t="s">
        <v>4</v>
      </c>
      <c r="K13" s="45" t="s">
        <v>119</v>
      </c>
      <c r="L13" s="17">
        <v>45473</v>
      </c>
      <c r="M13" s="18">
        <v>209</v>
      </c>
      <c r="N13" s="5" t="s">
        <v>120</v>
      </c>
    </row>
    <row r="14" spans="1:14" ht="15" thickBot="1" x14ac:dyDescent="0.35">
      <c r="A14" s="22"/>
      <c r="B14" s="63"/>
      <c r="C14" s="24"/>
      <c r="D14" s="20"/>
      <c r="E14" s="19"/>
      <c r="F14" s="19"/>
      <c r="G14" s="8"/>
      <c r="H14" s="43"/>
      <c r="I14" s="56">
        <v>12</v>
      </c>
      <c r="J14" s="64" t="s">
        <v>121</v>
      </c>
      <c r="K14" s="24" t="s">
        <v>122</v>
      </c>
      <c r="L14" s="10">
        <v>45504</v>
      </c>
      <c r="M14" s="32">
        <v>252</v>
      </c>
      <c r="N14" s="45" t="s">
        <v>105</v>
      </c>
    </row>
    <row r="15" spans="1:14" ht="15" thickBot="1" x14ac:dyDescent="0.35">
      <c r="A15" s="22"/>
      <c r="B15" s="63"/>
      <c r="C15" s="24"/>
      <c r="D15" s="20"/>
      <c r="E15" s="19"/>
      <c r="F15" s="19"/>
      <c r="G15" s="8"/>
      <c r="H15" s="11"/>
      <c r="I15" s="57">
        <v>13</v>
      </c>
      <c r="J15" s="77" t="s">
        <v>8</v>
      </c>
      <c r="K15" s="10" t="s">
        <v>72</v>
      </c>
      <c r="L15" s="44">
        <v>45565</v>
      </c>
      <c r="M15" s="65">
        <v>153</v>
      </c>
      <c r="N15" s="55"/>
    </row>
    <row r="16" spans="1:14" ht="15" thickBot="1" x14ac:dyDescent="0.35">
      <c r="A16" s="22"/>
      <c r="B16" s="63"/>
      <c r="C16" s="24"/>
      <c r="D16" s="20"/>
      <c r="E16" s="19"/>
      <c r="F16" s="19"/>
      <c r="G16" s="8"/>
      <c r="H16" s="11"/>
      <c r="I16" s="49">
        <v>14</v>
      </c>
      <c r="J16" s="9" t="s">
        <v>123</v>
      </c>
      <c r="K16" s="44" t="s">
        <v>72</v>
      </c>
      <c r="L16" s="30">
        <v>45657</v>
      </c>
      <c r="M16" s="31">
        <v>257</v>
      </c>
      <c r="N16" s="5"/>
    </row>
    <row r="17" spans="1:14" ht="15" thickBot="1" x14ac:dyDescent="0.35">
      <c r="A17" s="61"/>
      <c r="B17" s="63"/>
      <c r="C17" s="24"/>
      <c r="D17" s="20"/>
      <c r="E17" s="19"/>
      <c r="F17" s="19"/>
      <c r="G17" s="8"/>
      <c r="H17" s="11"/>
      <c r="I17" s="54">
        <v>15</v>
      </c>
      <c r="J17" s="29" t="s">
        <v>124</v>
      </c>
      <c r="K17" s="24" t="s">
        <v>107</v>
      </c>
      <c r="L17" s="58">
        <v>45657</v>
      </c>
      <c r="M17" s="59">
        <v>208</v>
      </c>
      <c r="N17" s="5"/>
    </row>
    <row r="18" spans="1:14" ht="15" thickBot="1" x14ac:dyDescent="0.35">
      <c r="A18" s="52"/>
      <c r="B18" s="51"/>
      <c r="C18" s="53"/>
      <c r="D18" s="178" t="s">
        <v>69</v>
      </c>
      <c r="E18" s="179"/>
      <c r="F18" s="180"/>
      <c r="G18" s="33">
        <f>SUM(G3:G17)</f>
        <v>944</v>
      </c>
      <c r="H18" s="43"/>
      <c r="I18" s="40"/>
      <c r="J18" s="41"/>
      <c r="K18" s="42"/>
      <c r="L18" s="47" t="s">
        <v>69</v>
      </c>
      <c r="M18" s="48">
        <f>SUM(M3:M17)</f>
        <v>2687</v>
      </c>
      <c r="N18" s="5"/>
    </row>
  </sheetData>
  <mergeCells count="5">
    <mergeCell ref="A1:G1"/>
    <mergeCell ref="I1:M1"/>
    <mergeCell ref="D18:F18"/>
    <mergeCell ref="N5:N12"/>
    <mergeCell ref="N3:N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eb73479-60cb-42aa-b48e-373cd33afd69">
      <Terms xmlns="http://schemas.microsoft.com/office/infopath/2007/PartnerControls"/>
    </lcf76f155ced4ddcb4097134ff3c332f>
    <TaxCatchAll xmlns="4b843e20-b01b-481d-badb-ccb59c26db6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BCAE6123B71C44382E60652D1CCEC9F" ma:contentTypeVersion="19" ma:contentTypeDescription="Create a new document." ma:contentTypeScope="" ma:versionID="8d1ccdb176ecb4ae65409f24657b59d8">
  <xsd:schema xmlns:xsd="http://www.w3.org/2001/XMLSchema" xmlns:xs="http://www.w3.org/2001/XMLSchema" xmlns:p="http://schemas.microsoft.com/office/2006/metadata/properties" xmlns:ns2="aeb73479-60cb-42aa-b48e-373cd33afd69" xmlns:ns3="4b843e20-b01b-481d-badb-ccb59c26db61" targetNamespace="http://schemas.microsoft.com/office/2006/metadata/properties" ma:root="true" ma:fieldsID="9c213e1534831a45259494e0e71cb642" ns2:_="" ns3:_="">
    <xsd:import namespace="aeb73479-60cb-42aa-b48e-373cd33afd69"/>
    <xsd:import namespace="4b843e20-b01b-481d-badb-ccb59c26db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b73479-60cb-42aa-b48e-373cd33afd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c7e13a9-b2ac-48dc-b4f0-1533e770210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843e20-b01b-481d-badb-ccb59c26db6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2e9fe2b2-cd82-447c-956c-c94c40a79d73}" ma:internalName="TaxCatchAll" ma:showField="CatchAllData" ma:web="4b843e20-b01b-481d-badb-ccb59c26db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DB80BAE-ECA4-4CDD-AC84-63E5D364200E}">
  <ds:schemaRefs>
    <ds:schemaRef ds:uri="http://schemas.microsoft.com/office/2006/metadata/properties"/>
    <ds:schemaRef ds:uri="http://schemas.microsoft.com/office/infopath/2007/PartnerControls"/>
    <ds:schemaRef ds:uri="aeb73479-60cb-42aa-b48e-373cd33afd69"/>
    <ds:schemaRef ds:uri="4b843e20-b01b-481d-badb-ccb59c26db61"/>
  </ds:schemaRefs>
</ds:datastoreItem>
</file>

<file path=customXml/itemProps2.xml><?xml version="1.0" encoding="utf-8"?>
<ds:datastoreItem xmlns:ds="http://schemas.openxmlformats.org/officeDocument/2006/customXml" ds:itemID="{19505D85-F475-4A3A-8D95-A88BE60783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149B47-595C-404B-8CD0-FB289EDD7F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b73479-60cb-42aa-b48e-373cd33afd69"/>
    <ds:schemaRef ds:uri="4b843e20-b01b-481d-badb-ccb59c26db6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2026</vt:lpstr>
      <vt:lpstr>2025</vt:lpstr>
      <vt:lpstr>2024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SumanS</dc:creator>
  <cp:keywords/>
  <dc:description/>
  <cp:lastModifiedBy>Nischith</cp:lastModifiedBy>
  <cp:revision/>
  <dcterms:created xsi:type="dcterms:W3CDTF">2015-10-30T13:44:29Z</dcterms:created>
  <dcterms:modified xsi:type="dcterms:W3CDTF">2026-08-24T09:07:42Z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0x0101004BCAE6123B71C44382E60652D1CCEC9F</vt:lpwstr>
  </property>
  <property fmtid="{D5CDD505-2E9C-101B-9397-08002B2CF9AE}" pid="3" name="MediaServiceImageTags">
    <vt:lpwstr/>
  </property>
</Properties>
</file>